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oundation" sheetId="2" state="visible" r:id="rId2"/>
    <sheet name="Results" sheetId="3" state="visible" r:id="rId3"/>
    <sheet name="Uses Map" sheetId="4" state="visible" r:id="rId4"/>
    <sheet name="Dependencies" sheetId="5" state="visible" r:id="rId5"/>
    <sheet name="Papers" sheetId="6" state="visible" r:id="rId6"/>
    <sheet name="Counts" sheetId="7" state="visible" r:id="rId7"/>
    <sheet name="Not On This List" sheetId="8" state="visible" r:id="rId8"/>
  </sheets>
  <definedNames>
    <definedName name="_xlnm._FilterDatabase" localSheetId="1" hidden="1">'Foundation'!$A$1:$G$57</definedName>
    <definedName name="_xlnm._FilterDatabase" localSheetId="2" hidden="1">'Results'!$A$1:$N$17</definedName>
    <definedName name="_xlnm._FilterDatabase" localSheetId="3" hidden="1">'Uses Map'!$A$1:$F$82</definedName>
    <definedName name="_xlnm._FilterDatabase" localSheetId="4" hidden="1">'Dependencies'!$A$1:$D$13</definedName>
    <definedName name="_xlnm._FilterDatabase" localSheetId="5" hidden="1">'Papers'!$A$1:$D$19</definedName>
    <definedName name="_xlnm._FilterDatabase" localSheetId="7" hidden="1">'Not On This List'!$A$1:$C$13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4"/>
    </font>
    <font>
      <name val="Arial"/>
      <b val="1"/>
      <sz val="10"/>
    </font>
    <font>
      <name val="Arial"/>
      <i val="1"/>
      <sz val="10"/>
    </font>
  </fonts>
  <fills count="3">
    <fill>
      <patternFill/>
    </fill>
    <fill>
      <patternFill patternType="gray125"/>
    </fill>
    <fill>
      <patternFill patternType="solid">
        <fgColor rgb="00404040"/>
      </patternFill>
    </fill>
  </fills>
  <borders count="2">
    <border>
      <left/>
      <right/>
      <top/>
      <bottom/>
      <diagonal/>
    </border>
    <border>
      <bottom style="thin">
        <color rgb="00D0D0D0"/>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8" customWidth="1" min="1" max="1"/>
  </cols>
  <sheetData>
    <row r="1">
      <c r="A1" s="1" t="inlineStr">
        <is>
          <t>Event Density — an honest account</t>
        </is>
      </c>
    </row>
    <row r="2">
      <c r="A2" s="2" t="inlineStr"/>
    </row>
    <row r="3">
      <c r="A3" s="3" t="inlineStr">
        <is>
          <t>What this workbook is</t>
        </is>
      </c>
    </row>
    <row r="4" ht="30" customHeight="1">
      <c r="A4" s="2" t="inlineStr">
        <is>
          <t>The core of Event Density in one file: the 53 items ED starts from, and the 16 results whose papers use nothing beyond them, each with a review verdict.</t>
        </is>
      </c>
    </row>
    <row r="5" ht="30" customHeight="1">
      <c r="A5" s="2" t="inlineStr">
        <is>
          <t>Generated from Foundation.md and the sixteen result pages in this folder. Those documents are the source.</t>
        </is>
      </c>
    </row>
    <row r="6">
      <c r="A6" s="2" t="inlineStr"/>
    </row>
    <row r="7">
      <c r="A7" s="3" t="inlineStr">
        <is>
          <t>The one thing to know up front</t>
        </is>
      </c>
    </row>
    <row r="8" ht="30" customHeight="1">
      <c r="A8" s="2" t="inlineStr">
        <is>
          <t>On review (2026-09-12), none of the sixteen derives anything not already known. Six are textbook results restated in ED terms, one is a modest ED-specific result, four are identifications without calculation, and five (all in the gravity block) rest on steps that do not hold as written. ED is an interpretive framework, not yet a theory that can be calculated from.</t>
        </is>
      </c>
    </row>
    <row r="9">
      <c r="A9" s="2" t="inlineStr"/>
    </row>
    <row r="10">
      <c r="A10" s="3" t="inlineStr">
        <is>
          <t>The tabs</t>
        </is>
      </c>
    </row>
    <row r="11" ht="30" customHeight="1">
      <c r="A11" s="2" t="inlineStr">
        <is>
          <t>Foundation — all 53 counted items plus the 3 uncounted definitions.</t>
        </is>
      </c>
    </row>
    <row r="12" ht="30" customHeight="1">
      <c r="A12" s="2" t="inlineStr">
        <is>
          <t>Results — the 16, one row each: what the paper claims, the review verdict, what review found, what it uses, borrows and leans on, how to kill it.</t>
        </is>
      </c>
    </row>
    <row r="13" ht="30" customHeight="1">
      <c r="A13" s="2" t="inlineStr">
        <is>
          <t>Uses Map — one row per result-and-item pair. Filter by item key to see everything that uses a given assumption.</t>
        </is>
      </c>
    </row>
    <row r="14" ht="30" customHeight="1">
      <c r="A14" s="2" t="inlineStr">
        <is>
          <t>Dependencies — which results stand on earlier ED results, and where those stand.</t>
        </is>
      </c>
    </row>
    <row r="15" ht="30" customHeight="1">
      <c r="A15" s="2" t="inlineStr">
        <is>
          <t>Papers — the 14 result papers and the 4 upstream papers. Each paper file opens with a review note that takes precedence over its text.</t>
        </is>
      </c>
    </row>
    <row r="16" ht="30" customHeight="1">
      <c r="A16" s="2" t="inlineStr">
        <is>
          <t>Counts — live counts, including the review verdicts.</t>
        </is>
      </c>
    </row>
    <row r="17" ht="30" customHeight="1">
      <c r="A17" s="2" t="inlineStr">
        <is>
          <t>Not On This List — what was left out, and why.</t>
        </is>
      </c>
    </row>
    <row r="18">
      <c r="A18" s="2" t="inlineStr"/>
    </row>
    <row r="19">
      <c r="A19" s="3" t="inlineStr">
        <is>
          <t>What the verdicts mean</t>
        </is>
      </c>
    </row>
    <row r="20" ht="30" customHeight="1">
      <c r="A20" s="2" t="inlineStr">
        <is>
          <t>Textbook result, restated: correct, but known physics or mathematics, with ED supplying vocabulary. Modest ED-specific result: a correct statement about an ED model with limited physical reach. Identification: a known phenomenon said to be a substrate object, with nothing calculated. Not established: relies on a step that does not hold as written.</t>
        </is>
      </c>
    </row>
    <row r="21">
      <c r="A21" s="2" t="inlineStr"/>
    </row>
    <row r="22">
      <c r="A22" s="3" t="inlineStr">
        <is>
          <t>The rule</t>
        </is>
      </c>
    </row>
    <row r="23" ht="30" customHeight="1">
      <c r="A23" s="2" t="inlineStr">
        <is>
          <t>A result appears here only if its paper uses nothing beyond the Foundation tab. Passing the rule means no hidden assumptions; it does not make a result a derivation.</t>
        </is>
      </c>
    </row>
    <row r="24">
      <c r="A24" s="2" t="inlineStr"/>
    </row>
    <row r="25">
      <c r="A25" s="3" t="inlineStr">
        <is>
          <t>Source of record</t>
        </is>
      </c>
    </row>
    <row r="26" ht="30" customHeight="1">
      <c r="A26" s="2" t="inlineStr">
        <is>
          <t>The canonical corpus is the ED Generative repository and its claims ledger, ED_ItemizedTheory_TieredClaims_v2.xlsx. Ledger row numbers on the Results tab point into that ledger. The ledger's tiers predate this review.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30" customWidth="1" min="3" max="3"/>
    <col width="78" customWidth="1" min="4" max="4"/>
    <col width="16" customWidth="1" min="5" max="5"/>
    <col width="46" customWidth="1" min="6" max="6"/>
    <col width="8" customWidth="1" min="7" max="7"/>
  </cols>
  <sheetData>
    <row r="1" ht="28" customHeight="1">
      <c r="A1" s="4" t="inlineStr">
        <is>
          <t>Kind</t>
        </is>
      </c>
      <c r="B1" s="4" t="inlineStr">
        <is>
          <t>No.</t>
        </is>
      </c>
      <c r="C1" s="4" t="inlineStr">
        <is>
          <t>Name</t>
        </is>
      </c>
      <c r="D1" s="4" t="inlineStr">
        <is>
          <t>What it says</t>
        </is>
      </c>
      <c r="E1" s="4" t="inlineStr">
        <is>
          <t>Where</t>
        </is>
      </c>
      <c r="F1" s="4" t="inlineStr">
        <is>
          <t>Note</t>
        </is>
      </c>
      <c r="G1" s="4" t="inlineStr">
        <is>
          <t>Key</t>
        </is>
      </c>
    </row>
    <row r="2">
      <c r="A2" s="5" t="inlineStr">
        <is>
          <t>Primitive</t>
        </is>
      </c>
      <c r="B2" s="5" t="inlineStr">
        <is>
          <t>P01</t>
        </is>
      </c>
      <c r="C2" s="6" t="inlineStr"/>
      <c r="D2" s="6" t="inlineStr">
        <is>
          <t>Existence layer: the foundational existence commitment. Below it there is no further substrate structure.</t>
        </is>
      </c>
      <c r="E2" s="5" t="inlineStr">
        <is>
          <t>Paper_087</t>
        </is>
      </c>
      <c r="F2" s="6" t="inlineStr"/>
      <c r="G2" s="5" t="inlineStr">
        <is>
          <t>P01</t>
        </is>
      </c>
    </row>
    <row r="3">
      <c r="A3" s="5" t="inlineStr">
        <is>
          <t>Primitive</t>
        </is>
      </c>
      <c r="B3" s="5" t="inlineStr">
        <is>
          <t>P02</t>
        </is>
      </c>
      <c r="C3" s="6" t="inlineStr"/>
      <c r="D3" s="6" t="inlineStr">
        <is>
          <t>Participation is the primitive relation. Chains participate, and composite structures derive from that.</t>
        </is>
      </c>
      <c r="E3" s="5" t="inlineStr">
        <is>
          <t>Paper_087</t>
        </is>
      </c>
      <c r="F3" s="6" t="inlineStr"/>
      <c r="G3" s="5" t="inlineStr">
        <is>
          <t>P02</t>
        </is>
      </c>
    </row>
    <row r="4">
      <c r="A4" s="5" t="inlineStr">
        <is>
          <t>Primitive</t>
        </is>
      </c>
      <c r="B4" s="5" t="inlineStr">
        <is>
          <t>P03</t>
        </is>
      </c>
      <c r="C4" s="6" t="inlineStr"/>
      <c r="D4" s="6" t="inlineStr">
        <is>
          <t>Channels and loci are indexed, and space is homogeneous.</t>
        </is>
      </c>
      <c r="E4" s="5" t="inlineStr">
        <is>
          <t>Paper_087</t>
        </is>
      </c>
      <c r="F4" s="6" t="inlineStr"/>
      <c r="G4" s="5" t="inlineStr">
        <is>
          <t>P03</t>
        </is>
      </c>
    </row>
    <row r="5">
      <c r="A5" s="5" t="inlineStr">
        <is>
          <t>Primitive</t>
        </is>
      </c>
      <c r="B5" s="5" t="inlineStr">
        <is>
          <t>P04</t>
        </is>
      </c>
      <c r="C5" s="6" t="inlineStr"/>
      <c r="D5" s="6" t="inlineStr">
        <is>
          <t>Bandwidth: a non-negative, additive quantity.</t>
        </is>
      </c>
      <c r="E5" s="5" t="inlineStr">
        <is>
          <t>Paper_087</t>
        </is>
      </c>
      <c r="F5" s="6" t="inlineStr"/>
      <c r="G5" s="5" t="inlineStr">
        <is>
          <t>P04</t>
        </is>
      </c>
    </row>
    <row r="6">
      <c r="A6" s="5" t="inlineStr">
        <is>
          <t>Primitive</t>
        </is>
      </c>
      <c r="B6" s="5" t="inlineStr">
        <is>
          <t>P05</t>
        </is>
      </c>
      <c r="C6" s="6" t="inlineStr"/>
      <c r="D6" s="6" t="inlineStr">
        <is>
          <t>Polarity is transported between neighbouring loci.</t>
        </is>
      </c>
      <c r="E6" s="5" t="inlineStr">
        <is>
          <t>Paper_087</t>
        </is>
      </c>
      <c r="F6" s="6" t="inlineStr"/>
      <c r="G6" s="5" t="inlineStr">
        <is>
          <t>P05</t>
        </is>
      </c>
    </row>
    <row r="7">
      <c r="A7" s="5" t="inlineStr">
        <is>
          <t>Primitive</t>
        </is>
      </c>
      <c r="B7" s="5" t="inlineStr">
        <is>
          <t>P06</t>
        </is>
      </c>
      <c r="C7" s="6" t="inlineStr"/>
      <c r="D7" s="6" t="inlineStr">
        <is>
          <t>Space has 3 dimensions, plus time (D = 3+1).</t>
        </is>
      </c>
      <c r="E7" s="5" t="inlineStr">
        <is>
          <t>Paper_087</t>
        </is>
      </c>
      <c r="F7" s="6" t="inlineStr"/>
      <c r="G7" s="5" t="inlineStr">
        <is>
          <t>P06</t>
        </is>
      </c>
    </row>
    <row r="8">
      <c r="A8" s="5" t="inlineStr">
        <is>
          <t>Primitive</t>
        </is>
      </c>
      <c r="B8" s="5" t="inlineStr">
        <is>
          <t>P07</t>
        </is>
      </c>
      <c r="C8" s="6" t="inlineStr"/>
      <c r="D8" s="6" t="inlineStr">
        <is>
          <t>Channel structure is basic, not built from something else.</t>
        </is>
      </c>
      <c r="E8" s="5" t="inlineStr">
        <is>
          <t>Paper_087</t>
        </is>
      </c>
      <c r="F8" s="6" t="inlineStr"/>
      <c r="G8" s="5" t="inlineStr">
        <is>
          <t>P07</t>
        </is>
      </c>
    </row>
    <row r="9">
      <c r="A9" s="5" t="inlineStr">
        <is>
          <t>Primitive</t>
        </is>
      </c>
      <c r="B9" s="5" t="inlineStr">
        <is>
          <t>P08</t>
        </is>
      </c>
      <c r="C9" s="6" t="inlineStr"/>
      <c r="D9" s="6" t="inlineStr">
        <is>
          <t>The substrate has a smallest scale, ℓ_ED (matched to the Planck length).</t>
        </is>
      </c>
      <c r="E9" s="5" t="inlineStr">
        <is>
          <t>Paper_087</t>
        </is>
      </c>
      <c r="F9" s="6" t="inlineStr"/>
      <c r="G9" s="5" t="inlineStr">
        <is>
          <t>P08</t>
        </is>
      </c>
    </row>
    <row r="10">
      <c r="A10" s="5" t="inlineStr">
        <is>
          <t>Primitive</t>
        </is>
      </c>
      <c r="B10" s="5" t="inlineStr">
        <is>
          <t>P09</t>
        </is>
      </c>
      <c r="C10" s="6" t="inlineStr"/>
      <c r="D10" s="6" t="inlineStr">
        <is>
          <t>Polarity takes values in U(1), an angle.</t>
        </is>
      </c>
      <c r="E10" s="5" t="inlineStr">
        <is>
          <t>Paper_087</t>
        </is>
      </c>
      <c r="F10" s="6" t="inlineStr"/>
      <c r="G10" s="5" t="inlineStr">
        <is>
          <t>P09</t>
        </is>
      </c>
    </row>
    <row r="11">
      <c r="A11" s="5" t="inlineStr">
        <is>
          <t>Primitive</t>
        </is>
      </c>
      <c r="B11" s="5" t="inlineStr">
        <is>
          <t>P10</t>
        </is>
      </c>
      <c r="C11" s="6" t="inlineStr"/>
      <c r="D11" s="6" t="inlineStr">
        <is>
          <t>Rule-types are primitive. This is what allows the V5 kernel to exist as one.</t>
        </is>
      </c>
      <c r="E11" s="5" t="inlineStr">
        <is>
          <t>Paper_087</t>
        </is>
      </c>
      <c r="F11" s="6" t="inlineStr"/>
      <c r="G11" s="5" t="inlineStr">
        <is>
          <t>P10</t>
        </is>
      </c>
    </row>
    <row r="12">
      <c r="A12" s="5" t="inlineStr">
        <is>
          <t>Primitive</t>
        </is>
      </c>
      <c r="B12" s="5" t="inlineStr">
        <is>
          <t>P11</t>
        </is>
      </c>
      <c r="C12" s="6" t="inlineStr"/>
      <c r="D12" s="6" t="inlineStr">
        <is>
          <t>Commitment is irreversible, with the environment randomizing phase. This is the arrow of time.</t>
        </is>
      </c>
      <c r="E12" s="5" t="inlineStr">
        <is>
          <t>Paper_087</t>
        </is>
      </c>
      <c r="F12" s="6" t="inlineStr"/>
      <c r="G12" s="5" t="inlineStr">
        <is>
          <t>P11</t>
        </is>
      </c>
    </row>
    <row r="13">
      <c r="A13" s="5" t="inlineStr">
        <is>
          <t>Primitive</t>
        </is>
      </c>
      <c r="B13" s="5" t="inlineStr">
        <is>
          <t>P12</t>
        </is>
      </c>
      <c r="C13" s="6" t="inlineStr"/>
      <c r="D13" s="6" t="inlineStr">
        <is>
          <t>Each chain has a stability landscape, Σ = Coh − Str − Grad.</t>
        </is>
      </c>
      <c r="E13" s="5" t="inlineStr">
        <is>
          <t>Paper_087</t>
        </is>
      </c>
      <c r="F13" s="6" t="inlineStr"/>
      <c r="G13" s="5" t="inlineStr">
        <is>
          <t>P12</t>
        </is>
      </c>
    </row>
    <row r="14">
      <c r="A14" s="5" t="inlineStr">
        <is>
          <t>Primitive</t>
        </is>
      </c>
      <c r="B14" s="5" t="inlineStr">
        <is>
          <t>P13</t>
        </is>
      </c>
      <c r="C14" s="6" t="inlineStr"/>
      <c r="D14" s="6" t="inlineStr">
        <is>
          <t>Time is homogeneous, and events are discrete.</t>
        </is>
      </c>
      <c r="E14" s="5" t="inlineStr">
        <is>
          <t>Paper_087</t>
        </is>
      </c>
      <c r="F14" s="6" t="inlineStr"/>
      <c r="G14" s="5" t="inlineStr">
        <is>
          <t>P13</t>
        </is>
      </c>
    </row>
    <row r="15">
      <c r="A15" s="5" t="inlineStr">
        <is>
          <t>Constant</t>
        </is>
      </c>
      <c r="B15" s="5" t="inlineStr">
        <is>
          <t>c</t>
        </is>
      </c>
      <c r="C15" s="6" t="inlineStr"/>
      <c r="D15" s="6" t="inlineStr">
        <is>
          <t>the rate of becoming: how a tick converts to a hop</t>
        </is>
      </c>
      <c r="E15" s="5" t="inlineStr">
        <is>
          <t>core 38 lines</t>
        </is>
      </c>
      <c r="F15" s="6" t="inlineStr"/>
      <c r="G15" s="5" t="inlineStr">
        <is>
          <t>c</t>
        </is>
      </c>
    </row>
    <row r="16">
      <c r="A16" s="5" t="inlineStr">
        <is>
          <t>Constant</t>
        </is>
      </c>
      <c r="B16" s="5" t="inlineStr">
        <is>
          <t>G</t>
        </is>
      </c>
      <c r="C16" s="6" t="inlineStr"/>
      <c r="D16" s="6" t="inlineStr">
        <is>
          <t>Newton's constant, G = c³ℓ_P²/ħ</t>
        </is>
      </c>
      <c r="E16" s="5" t="inlineStr">
        <is>
          <t>core 38 lines</t>
        </is>
      </c>
      <c r="F16" s="6" t="inlineStr"/>
      <c r="G16" s="5" t="inlineStr">
        <is>
          <t>G</t>
        </is>
      </c>
    </row>
    <row r="17">
      <c r="A17" s="5" t="inlineStr">
        <is>
          <t>Constant</t>
        </is>
      </c>
      <c r="B17" s="5" t="inlineStr">
        <is>
          <t>a₀</t>
        </is>
      </c>
      <c r="C17" s="6" t="inlineStr"/>
      <c r="D17" s="6" t="inlineStr">
        <is>
          <t>the MOND acceleration scale, a₀ = cH₀/2π (the scale ∼ cH₀ is supported; the 1/2π is disputed)</t>
        </is>
      </c>
      <c r="E17" s="5" t="inlineStr">
        <is>
          <t>core 38 lines</t>
        </is>
      </c>
      <c r="F17" s="6" t="inlineStr"/>
      <c r="G17" s="5" t="inlineStr">
        <is>
          <t>a₀</t>
        </is>
      </c>
    </row>
    <row r="18">
      <c r="A18" s="5" t="inlineStr">
        <is>
          <t>Constant</t>
        </is>
      </c>
      <c r="B18" s="5" t="inlineStr">
        <is>
          <t>Λ</t>
        </is>
      </c>
      <c r="C18" s="6" t="inlineStr"/>
      <c r="D18" s="6" t="inlineStr">
        <is>
          <t>the cosmological constant</t>
        </is>
      </c>
      <c r="E18" s="5" t="inlineStr">
        <is>
          <t>core 38 lines</t>
        </is>
      </c>
      <c r="F18" s="6" t="inlineStr"/>
      <c r="G18" s="5" t="inlineStr">
        <is>
          <t>Λ</t>
        </is>
      </c>
    </row>
    <row r="19">
      <c r="A19" s="5" t="inlineStr">
        <is>
          <t>Constant</t>
        </is>
      </c>
      <c r="B19" s="5" t="inlineStr">
        <is>
          <t>ħ</t>
        </is>
      </c>
      <c r="C19" s="6" t="inlineStr"/>
      <c r="D19" s="6" t="inlineStr">
        <is>
          <t>the action of one commitment</t>
        </is>
      </c>
      <c r="E19" s="5" t="inlineStr">
        <is>
          <t>core 38 lines</t>
        </is>
      </c>
      <c r="F19" s="6" t="inlineStr"/>
      <c r="G19" s="5" t="inlineStr">
        <is>
          <t>ħ</t>
        </is>
      </c>
    </row>
    <row r="20">
      <c r="A20" s="5" t="inlineStr">
        <is>
          <t>Constant</t>
        </is>
      </c>
      <c r="B20" s="5" t="inlineStr">
        <is>
          <t>ℓ_P</t>
        </is>
      </c>
      <c r="C20" s="6" t="inlineStr"/>
      <c r="D20" s="6" t="inlineStr">
        <is>
          <t>the Planck length, equal to ℓ_ED: the size of one hop</t>
        </is>
      </c>
      <c r="E20" s="5" t="inlineStr">
        <is>
          <t>core 38 lines</t>
        </is>
      </c>
      <c r="F20" s="6" t="inlineStr"/>
      <c r="G20" s="5" t="inlineStr">
        <is>
          <t>ℓ_P</t>
        </is>
      </c>
    </row>
    <row r="21">
      <c r="A21" s="5" t="inlineStr">
        <is>
          <t>Constant</t>
        </is>
      </c>
      <c r="B21" s="5" t="inlineStr">
        <is>
          <t>H₀</t>
        </is>
      </c>
      <c r="C21" s="6" t="inlineStr"/>
      <c r="D21" s="6" t="inlineStr">
        <is>
          <t>the Hubble rate</t>
        </is>
      </c>
      <c r="E21" s="5" t="inlineStr">
        <is>
          <t>core 38 lines</t>
        </is>
      </c>
      <c r="F21" s="6" t="inlineStr"/>
      <c r="G21" s="5" t="inlineStr">
        <is>
          <t>H₀</t>
        </is>
      </c>
    </row>
    <row r="22">
      <c r="A22" s="5" t="inlineStr">
        <is>
          <t>Constant</t>
        </is>
      </c>
      <c r="B22" s="5" t="inlineStr">
        <is>
          <t>masses</t>
        </is>
      </c>
      <c r="C22" s="6" t="inlineStr"/>
      <c r="D22" s="6" t="inlineStr">
        <is>
          <t>the particle masses</t>
        </is>
      </c>
      <c r="E22" s="5" t="inlineStr">
        <is>
          <t>core 38 lines</t>
        </is>
      </c>
      <c r="F22" s="6" t="inlineStr"/>
      <c r="G22" s="5" t="inlineStr">
        <is>
          <t>masses</t>
        </is>
      </c>
    </row>
    <row r="23">
      <c r="A23" s="5" t="inlineStr">
        <is>
          <t>Constant</t>
        </is>
      </c>
      <c r="B23" s="5" t="inlineStr">
        <is>
          <t>g</t>
        </is>
      </c>
      <c r="C23" s="6" t="inlineStr"/>
      <c r="D23" s="6" t="inlineStr">
        <is>
          <t>the gauge couplings</t>
        </is>
      </c>
      <c r="E23" s="5" t="inlineStr">
        <is>
          <t>core 38 lines</t>
        </is>
      </c>
      <c r="F23" s="6" t="inlineStr"/>
      <c r="G23" s="5" t="inlineStr">
        <is>
          <t>g</t>
        </is>
      </c>
    </row>
    <row r="24">
      <c r="A24" s="5" t="inlineStr">
        <is>
          <t>Constant</t>
        </is>
      </c>
      <c r="B24" s="5" t="inlineStr">
        <is>
          <t>α</t>
        </is>
      </c>
      <c r="C24" s="6" t="inlineStr"/>
      <c r="D24" s="6" t="inlineStr">
        <is>
          <t>the fine-structure constant (about 1/137) and the mass ratios</t>
        </is>
      </c>
      <c r="E24" s="5" t="inlineStr">
        <is>
          <t>core 38 lines</t>
        </is>
      </c>
      <c r="F24" s="6" t="inlineStr"/>
      <c r="G24" s="5" t="inlineStr">
        <is>
          <t>α</t>
        </is>
      </c>
    </row>
    <row r="25">
      <c r="A25" s="5" t="inlineStr">
        <is>
          <t>Axiom</t>
        </is>
      </c>
      <c r="B25" s="5" t="inlineStr">
        <is>
          <t>1</t>
        </is>
      </c>
      <c r="C25" s="6" t="inlineStr">
        <is>
          <t>SCBU</t>
        </is>
      </c>
      <c r="D25" s="6" t="inlineStr">
        <is>
          <t>the MOND scale a₀ and the scale ξ come from one boundary, the cosmic horizon R_H = c/H₀</t>
        </is>
      </c>
      <c r="E25" s="5" t="inlineStr">
        <is>
          <t>SCBU paper</t>
        </is>
      </c>
      <c r="F25" s="6" t="inlineStr"/>
      <c r="G25" s="5" t="inlineStr">
        <is>
          <t>A1</t>
        </is>
      </c>
    </row>
    <row r="26">
      <c r="A26" s="5" t="inlineStr">
        <is>
          <t>Axiom</t>
        </is>
      </c>
      <c r="B26" s="5" t="inlineStr">
        <is>
          <t>2</t>
        </is>
      </c>
      <c r="C26" s="6" t="inlineStr">
        <is>
          <t>P-Bipartite-Mapping</t>
        </is>
      </c>
      <c r="D26" s="6" t="inlineStr">
        <is>
          <t>two-chain states have tensor-product structure; unentangled states factor as Ψ^A ⊗ Ψ^B</t>
        </is>
      </c>
      <c r="E26" s="5" t="inlineStr">
        <is>
          <t>063</t>
        </is>
      </c>
      <c r="F26" s="6" t="inlineStr"/>
      <c r="G26" s="5" t="inlineStr">
        <is>
          <t>A2</t>
        </is>
      </c>
    </row>
    <row r="27">
      <c r="A27" s="5" t="inlineStr">
        <is>
          <t>Axiom</t>
        </is>
      </c>
      <c r="B27" s="5" t="inlineStr">
        <is>
          <t>3</t>
        </is>
      </c>
      <c r="C27" s="6" t="inlineStr">
        <is>
          <t>P-V5-Schmidt-Generic</t>
        </is>
      </c>
      <c r="D27" s="6" t="inlineStr">
        <is>
          <t>chains linked by V5 are generically entangled (Schmidt rank above 1)</t>
        </is>
      </c>
      <c r="E27" s="5" t="inlineStr">
        <is>
          <t>064</t>
        </is>
      </c>
      <c r="F27" s="6" t="inlineStr"/>
      <c r="G27" s="5" t="inlineStr">
        <is>
          <t>A3</t>
        </is>
      </c>
    </row>
    <row r="28">
      <c r="A28" s="5" t="inlineStr">
        <is>
          <t>Axiom</t>
        </is>
      </c>
      <c r="B28" s="5" t="inlineStr">
        <is>
          <t>4</t>
        </is>
      </c>
      <c r="C28" s="6" t="inlineStr">
        <is>
          <t>P-V5-Budget and P-Measure-Saturation</t>
        </is>
      </c>
      <c r="D28" s="6" t="inlineStr">
        <is>
          <t>each chain has a finite budget for entanglement, and maximal entanglement uses all of it</t>
        </is>
      </c>
      <c r="E28" s="5" t="inlineStr">
        <is>
          <t>065</t>
        </is>
      </c>
      <c r="F28" s="6" t="inlineStr"/>
      <c r="G28" s="5" t="inlineStr">
        <is>
          <t>A4</t>
        </is>
      </c>
    </row>
    <row r="29">
      <c r="A29" s="5" t="inlineStr">
        <is>
          <t>Axiom</t>
        </is>
      </c>
      <c r="B29" s="5" t="inlineStr">
        <is>
          <t>5</t>
        </is>
      </c>
      <c r="C29" s="6" t="inlineStr">
        <is>
          <t>P-V5-Hilbert-Constraint</t>
        </is>
      </c>
      <c r="D29" s="6" t="inlineStr">
        <is>
          <t>ED's correlations reach the Tsirelson bound and no further (no PR boxes)</t>
        </is>
      </c>
      <c r="E29" s="5" t="inlineStr">
        <is>
          <t>069</t>
        </is>
      </c>
      <c r="F29" s="6" t="inlineStr"/>
      <c r="G29" s="5" t="inlineStr">
        <is>
          <t>A5</t>
        </is>
      </c>
    </row>
    <row r="30">
      <c r="A30" s="5" t="inlineStr">
        <is>
          <t>Axiom</t>
        </is>
      </c>
      <c r="B30" s="5" t="inlineStr">
        <is>
          <t>6</t>
        </is>
      </c>
      <c r="C30" s="6" t="inlineStr">
        <is>
          <t>P-Quadratic-Strain (Model C)</t>
        </is>
      </c>
      <c r="D30" s="6" t="inlineStr">
        <is>
          <t>the gravitational strain on a channel is the squared size of the total amplitude arriving on it, not a plain sum of the sources. The squared terms give Newton; the cross term between two sources gives MOND's geometric mean. The paper calls it a chosen reading, like Paper_026's linear one</t>
        </is>
      </c>
      <c r="E30" s="5" t="inlineStr">
        <is>
          <t>QuadraticStrain</t>
        </is>
      </c>
      <c r="F30" s="6" t="inlineStr"/>
      <c r="G30" s="5" t="inlineStr">
        <is>
          <t>A6</t>
        </is>
      </c>
    </row>
    <row r="31">
      <c r="A31" s="5" t="inlineStr">
        <is>
          <t>Axiom</t>
        </is>
      </c>
      <c r="B31" s="5" t="inlineStr">
        <is>
          <t>7</t>
        </is>
      </c>
      <c r="C31" s="6" t="inlineStr">
        <is>
          <t>P-YM-Action-Coarse-Graining</t>
        </is>
      </c>
      <c r="D31" s="6" t="inlineStr">
        <is>
          <t>zoomed out, the substrate gives the Yang–Mills action</t>
        </is>
      </c>
      <c r="E31" s="5" t="inlineStr">
        <is>
          <t>019</t>
        </is>
      </c>
      <c r="F31" s="6" t="inlineStr"/>
      <c r="G31" s="5" t="inlineStr">
        <is>
          <t>A7</t>
        </is>
      </c>
    </row>
    <row r="32">
      <c r="A32" s="5" t="inlineStr">
        <is>
          <t>Axiom</t>
        </is>
      </c>
      <c r="B32" s="5" t="inlineStr">
        <is>
          <t>8</t>
        </is>
      </c>
      <c r="C32" s="6" t="inlineStr">
        <is>
          <t>P-OS-Reflection-Positivity</t>
        </is>
      </c>
      <c r="D32" s="6" t="inlineStr">
        <is>
          <t>the zoomed-out theory satisfies reflection positivity (OS3)</t>
        </is>
      </c>
      <c r="E32" s="5" t="inlineStr">
        <is>
          <t>020</t>
        </is>
      </c>
      <c r="F32" s="6" t="inlineStr"/>
      <c r="G32" s="5" t="inlineStr">
        <is>
          <t>A8</t>
        </is>
      </c>
    </row>
    <row r="33">
      <c r="A33" s="5" t="inlineStr">
        <is>
          <t>Axiom</t>
        </is>
      </c>
      <c r="B33" s="5" t="inlineStr">
        <is>
          <t>9</t>
        </is>
      </c>
      <c r="C33" s="6" t="inlineStr">
        <is>
          <t>P-Profile-Rescaling</t>
        </is>
      </c>
      <c r="D33" s="6" t="inlineStr">
        <is>
          <t>the Yang–Mills continuum limit survives rescaling</t>
        </is>
      </c>
      <c r="E33" s="5" t="inlineStr">
        <is>
          <t>021</t>
        </is>
      </c>
      <c r="F33" s="6" t="inlineStr"/>
      <c r="G33" s="5" t="inlineStr">
        <is>
          <t>A9</t>
        </is>
      </c>
    </row>
    <row r="34">
      <c r="A34" s="5" t="inlineStr">
        <is>
          <t>Axiom</t>
        </is>
      </c>
      <c r="B34" s="5" t="inlineStr">
        <is>
          <t>10</t>
        </is>
      </c>
      <c r="C34" s="6" t="inlineStr">
        <is>
          <t>P-QMkin-Composition</t>
        </is>
      </c>
      <c r="D34" s="6" t="inlineStr">
        <is>
          <t>combined systems compose by tensor product, Ψ^AB = Ψ^A ⊗ Ψ^B</t>
        </is>
      </c>
      <c r="E34" s="5" t="inlineStr">
        <is>
          <t>002</t>
        </is>
      </c>
      <c r="F34" s="6" t="inlineStr"/>
      <c r="G34" s="5" t="inlineStr">
        <is>
          <t>A10</t>
        </is>
      </c>
    </row>
    <row r="35">
      <c r="A35" s="5" t="inlineStr">
        <is>
          <t>Axiom</t>
        </is>
      </c>
      <c r="B35" s="5" t="inlineStr">
        <is>
          <t>11</t>
        </is>
      </c>
      <c r="C35" s="6" t="inlineStr">
        <is>
          <t>P-RB-1</t>
        </is>
      </c>
      <c r="D35" s="6" t="inlineStr">
        <is>
          <t>there is a local rate of becoming, and the substrate's c is constant</t>
        </is>
      </c>
      <c r="E35" s="5" t="inlineStr">
        <is>
          <t>012</t>
        </is>
      </c>
      <c r="F35" s="6" t="inlineStr"/>
      <c r="G35" s="5" t="inlineStr">
        <is>
          <t>A11</t>
        </is>
      </c>
    </row>
    <row r="36">
      <c r="A36" s="5" t="inlineStr">
        <is>
          <t>Axiom</t>
        </is>
      </c>
      <c r="B36" s="5" t="inlineStr">
        <is>
          <t>12</t>
        </is>
      </c>
      <c r="C36" s="6" t="inlineStr">
        <is>
          <t>P-Gauge</t>
        </is>
      </c>
      <c r="D36" s="6" t="inlineStr">
        <is>
          <t>gauge rule-types carry a connection (a potential A) on their bundles, it shifts under a gauge group (U(1) or a larger one), and only the gauge-invariant (transverse) modes are physical. The paper says deriving it from the primitives is open</t>
        </is>
      </c>
      <c r="E36" s="5" t="inlineStr">
        <is>
          <t>114</t>
        </is>
      </c>
      <c r="F36" s="6" t="inlineStr"/>
      <c r="G36" s="5" t="inlineStr">
        <is>
          <t>A12</t>
        </is>
      </c>
    </row>
    <row r="37">
      <c r="A37" s="5" t="inlineStr">
        <is>
          <t>Axiom</t>
        </is>
      </c>
      <c r="B37" s="5" t="inlineStr">
        <is>
          <t>13</t>
        </is>
      </c>
      <c r="C37" s="6" t="inlineStr">
        <is>
          <t>P-QD-LiveWeight</t>
        </is>
      </c>
      <c r="D37" s="6" t="inlineStr">
        <is>
          <t>uncommitted correlation between branches uses up V5 budget</t>
        </is>
      </c>
      <c r="E37" s="5" t="inlineStr">
        <is>
          <t>QuantumDarwinism</t>
        </is>
      </c>
      <c r="F37" s="6" t="inlineStr"/>
      <c r="G37" s="5" t="inlineStr">
        <is>
          <t>A13</t>
        </is>
      </c>
    </row>
    <row r="38">
      <c r="A38" s="5" t="inlineStr">
        <is>
          <t>Axiom</t>
        </is>
      </c>
      <c r="B38" s="5" t="inlineStr">
        <is>
          <t>14</t>
        </is>
      </c>
      <c r="C38" s="6" t="inlineStr">
        <is>
          <t>V5 exists</t>
        </is>
      </c>
      <c r="D38" s="6" t="inlineStr">
        <is>
          <t>a kernel linking different chains exists (P10 allows it; nothing derives it)</t>
        </is>
      </c>
      <c r="E38" s="5" t="inlineStr">
        <is>
          <t>090</t>
        </is>
      </c>
      <c r="F38" s="6" t="inlineStr"/>
      <c r="G38" s="5" t="inlineStr">
        <is>
          <t>A14</t>
        </is>
      </c>
    </row>
    <row r="39">
      <c r="A39" s="5" t="inlineStr">
        <is>
          <t>Axiom</t>
        </is>
      </c>
      <c r="B39" s="5" t="inlineStr">
        <is>
          <t>15</t>
        </is>
      </c>
      <c r="C39" s="6" t="inlineStr">
        <is>
          <t>P-LinRate</t>
        </is>
      </c>
      <c r="D39" s="6" t="inlineStr">
        <is>
          <t>a channel is chosen in proportion to its bandwidth. This is the core of the Born rule, taken as given</t>
        </is>
      </c>
      <c r="E39" s="5" t="inlineStr">
        <is>
          <t>003</t>
        </is>
      </c>
      <c r="F39" s="6" t="inlineStr">
        <is>
          <t>"the load-bearing postulate"</t>
        </is>
      </c>
      <c r="G39" s="5" t="inlineStr">
        <is>
          <t>A15</t>
        </is>
      </c>
    </row>
    <row r="40">
      <c r="A40" s="5" t="inlineStr">
        <is>
          <t>Axiom</t>
        </is>
      </c>
      <c r="B40" s="5" t="inlineStr">
        <is>
          <t>16</t>
        </is>
      </c>
      <c r="C40" s="6" t="inlineStr">
        <is>
          <t>P-Channel-Orthogonality</t>
        </is>
      </c>
      <c r="D40" s="6" t="inlineStr">
        <is>
          <t>different channels do not overlap</t>
        </is>
      </c>
      <c r="E40" s="5" t="inlineStr">
        <is>
          <t>004</t>
        </is>
      </c>
      <c r="F40" s="6" t="inlineStr">
        <is>
          <t>"remains fully open"; three attempts to derive it failed</t>
        </is>
      </c>
      <c r="G40" s="5" t="inlineStr">
        <is>
          <t>A16</t>
        </is>
      </c>
    </row>
    <row r="41">
      <c r="A41" s="5" t="inlineStr">
        <is>
          <t>Axiom</t>
        </is>
      </c>
      <c r="B41" s="5" t="inlineStr">
        <is>
          <t>17</t>
        </is>
      </c>
      <c r="C41" s="6" t="inlineStr">
        <is>
          <t>P-Gleason-Compatibility</t>
        </is>
      </c>
      <c r="D41" s="6" t="inlineStr">
        <is>
          <t>ED's probabilities meet the conditions Gleason's theorem needs</t>
        </is>
      </c>
      <c r="E41" s="5" t="inlineStr">
        <is>
          <t>004</t>
        </is>
      </c>
      <c r="F41" s="6" t="inlineStr">
        <is>
          <t>partly shown (2026-07-02 update)</t>
        </is>
      </c>
      <c r="G41" s="5" t="inlineStr">
        <is>
          <t>A17</t>
        </is>
      </c>
    </row>
    <row r="42">
      <c r="A42" s="5" t="inlineStr">
        <is>
          <t>Axiom</t>
        </is>
      </c>
      <c r="B42" s="5" t="inlineStr">
        <is>
          <t>18</t>
        </is>
      </c>
      <c r="C42" s="6" t="inlineStr">
        <is>
          <t>P-T18-Arrow-Inheritance</t>
        </is>
      </c>
      <c r="D42" s="6" t="inlineStr">
        <is>
          <t>the everyday arrows of time (heat, light, the cosmos) come from the kernel's arrow</t>
        </is>
      </c>
      <c r="E42" s="5" t="inlineStr">
        <is>
          <t>093</t>
        </is>
      </c>
      <c r="F42" s="6" t="inlineStr">
        <is>
          <t>a postulate</t>
        </is>
      </c>
      <c r="G42" s="5" t="inlineStr">
        <is>
          <t>A18</t>
        </is>
      </c>
    </row>
    <row r="43">
      <c r="A43" s="5" t="inlineStr">
        <is>
          <t>Axiom</t>
        </is>
      </c>
      <c r="B43" s="5" t="inlineStr">
        <is>
          <t>19</t>
        </is>
      </c>
      <c r="C43" s="6" t="inlineStr">
        <is>
          <t>P-Causality-Propagation</t>
        </is>
      </c>
      <c r="D43" s="6" t="inlineStr">
        <is>
          <t>everyday cause and effect comes from the substrate's</t>
        </is>
      </c>
      <c r="E43" s="5" t="inlineStr">
        <is>
          <t>094</t>
        </is>
      </c>
      <c r="F43" s="6" t="inlineStr">
        <is>
          <t>a postulate</t>
        </is>
      </c>
      <c r="G43" s="5" t="inlineStr">
        <is>
          <t>A19</t>
        </is>
      </c>
    </row>
    <row r="44">
      <c r="A44" s="5" t="inlineStr">
        <is>
          <t>Axiom</t>
        </is>
      </c>
      <c r="B44" s="5" t="inlineStr">
        <is>
          <t>20</t>
        </is>
      </c>
      <c r="C44" s="6" t="inlineStr">
        <is>
          <t>P-Hierarchy-Closure</t>
        </is>
      </c>
      <c r="D44" s="6" t="inlineStr">
        <is>
          <t>zooming out never creates a new kind of kernel</t>
        </is>
      </c>
      <c r="E44" s="5" t="inlineStr">
        <is>
          <t>092</t>
        </is>
      </c>
      <c r="F44" s="6" t="inlineStr">
        <is>
          <t>a postulate</t>
        </is>
      </c>
      <c r="G44" s="5" t="inlineStr">
        <is>
          <t>A20</t>
        </is>
      </c>
    </row>
    <row r="45">
      <c r="A45" s="5" t="inlineStr">
        <is>
          <t>Axiom</t>
        </is>
      </c>
      <c r="B45" s="5" t="inlineStr">
        <is>
          <t>21</t>
        </is>
      </c>
      <c r="C45" s="6" t="inlineStr">
        <is>
          <t>The V1 kernel has this shape</t>
        </is>
      </c>
      <c r="D45" s="6" t="inlineStr">
        <is>
          <t>a chain's response to its own earlier state is a bounded envelope in the separation, set by the smallest scale, times a factor saying which times count. P10 allows a kernel; nothing derives this shape</t>
        </is>
      </c>
      <c r="E45" s="5" t="inlineStr">
        <is>
          <t>089</t>
        </is>
      </c>
      <c r="F45" s="6" t="inlineStr">
        <is>
          <t>the audit calls the form a postulate (§3.1). Which times count, past only or not, is argument 1 and argument 2 below</t>
        </is>
      </c>
      <c r="G45" s="5" t="inlineStr">
        <is>
          <t>A21</t>
        </is>
      </c>
    </row>
    <row r="46">
      <c r="A46" s="5" t="inlineStr">
        <is>
          <t>Condition</t>
        </is>
      </c>
      <c r="B46" s="5" t="inlineStr">
        <is>
          <t>22</t>
        </is>
      </c>
      <c r="C46" s="6" t="inlineStr">
        <is>
          <t>Space's shape changes gently</t>
        </is>
      </c>
      <c r="D46" s="6" t="inlineStr">
        <is>
          <t>it cannot change sharply over distances as small as one hop</t>
        </is>
      </c>
      <c r="E46" s="5" t="inlineStr">
        <is>
          <t>035 (C2)</t>
        </is>
      </c>
      <c r="F46" s="6" t="inlineStr">
        <is>
          <t>a postulate</t>
        </is>
      </c>
      <c r="G46" s="5" t="inlineStr">
        <is>
          <t>C22</t>
        </is>
      </c>
    </row>
    <row r="47">
      <c r="A47" s="5" t="inlineStr">
        <is>
          <t>Condition</t>
        </is>
      </c>
      <c r="B47" s="5" t="inlineStr">
        <is>
          <t>23</t>
        </is>
      </c>
      <c r="C47" s="6" t="inlineStr">
        <is>
          <t>Time stays different from space</t>
        </is>
      </c>
      <c r="D47" s="6" t="inlineStr">
        <is>
          <t>the emergent geometry always has one time direction and three space directions</t>
        </is>
      </c>
      <c r="E47" s="5" t="inlineStr">
        <is>
          <t>035 (C3)</t>
        </is>
      </c>
      <c r="F47" s="6" t="inlineStr">
        <is>
          <t>a postulate</t>
        </is>
      </c>
      <c r="G47" s="5" t="inlineStr">
        <is>
          <t>C23</t>
        </is>
      </c>
    </row>
    <row r="48">
      <c r="A48" s="5" t="inlineStr">
        <is>
          <t>Condition</t>
        </is>
      </c>
      <c r="B48" s="5" t="inlineStr">
        <is>
          <t>24</t>
        </is>
      </c>
      <c r="C48" s="6" t="inlineStr">
        <is>
          <t>No negative-energy waves</t>
        </is>
      </c>
      <c r="D48" s="6" t="inlineStr">
        <is>
          <t>any added kind of wave carries positive energy (no "ghosts")</t>
        </is>
      </c>
      <c r="E48" s="5" t="inlineStr">
        <is>
          <t>035 (C4)</t>
        </is>
      </c>
      <c r="F48" s="6" t="inlineStr">
        <is>
          <t>a postulate</t>
        </is>
      </c>
      <c r="G48" s="5" t="inlineStr">
        <is>
          <t>C24</t>
        </is>
      </c>
    </row>
    <row r="49">
      <c r="A49" s="5" t="inlineStr">
        <is>
          <t>Condition</t>
        </is>
      </c>
      <c r="B49" s="5" t="inlineStr">
        <is>
          <t>25</t>
        </is>
      </c>
      <c r="C49" s="6" t="inlineStr">
        <is>
          <t>Zoom out the right amount</t>
        </is>
      </c>
      <c r="D49" s="6" t="inlineStr">
        <is>
          <t>the blur is much bigger than the substrate's smallest scales and much smaller than the flow being described</t>
        </is>
      </c>
      <c r="E49" s="5" t="inlineStr">
        <is>
          <t>035 (C5)</t>
        </is>
      </c>
      <c r="F49" s="6" t="inlineStr">
        <is>
          <t>a postulate</t>
        </is>
      </c>
      <c r="G49" s="5" t="inlineStr">
        <is>
          <t>C25</t>
        </is>
      </c>
    </row>
    <row r="50">
      <c r="A50" s="5" t="inlineStr">
        <is>
          <t>Condition</t>
        </is>
      </c>
      <c r="B50" s="5" t="inlineStr">
        <is>
          <t>26</t>
        </is>
      </c>
      <c r="C50" s="6" t="inlineStr">
        <is>
          <t>Horizons behave</t>
        </is>
      </c>
      <c r="D50" s="6" t="inlineStr">
        <is>
          <t>where there is a horizon, the links between inside and outside die off there</t>
        </is>
      </c>
      <c r="E50" s="5" t="inlineStr">
        <is>
          <t>035 (C6), 039</t>
        </is>
      </c>
      <c r="F50" s="6" t="inlineStr">
        <is>
          <t>039 (May) takes the horizon's place from general relativity. GR-III (July) has its linear gravity rule reach b = 0 on a surface whose size grows with the mass, but only because the solution is clipped at zero; that is not a strong-field result. The areal-coordinate Schwarzschild form the horizon results use is not derived (review, 2026-09-12)</t>
        </is>
      </c>
      <c r="G50" s="5" t="inlineStr">
        <is>
          <t>C26</t>
        </is>
      </c>
    </row>
    <row r="51">
      <c r="A51" s="5" t="inlineStr">
        <is>
          <t>Argument</t>
        </is>
      </c>
      <c r="B51" s="5" t="inlineStr">
        <is>
          <t>1</t>
        </is>
      </c>
      <c r="C51" s="6" t="inlineStr">
        <is>
          <t>P-T18-Kernel-Retardation</t>
        </is>
      </c>
      <c r="D51" s="6" t="inlineStr">
        <is>
          <t>every kernel looks only at the past</t>
        </is>
      </c>
      <c r="E51" s="5" t="inlineStr">
        <is>
          <t>093</t>
        </is>
      </c>
      <c r="F51" s="6" t="inlineStr">
        <is>
          <t>"formalizes the §7.1 conclusion"</t>
        </is>
      </c>
      <c r="G51" s="5" t="inlineStr">
        <is>
          <t>G1</t>
        </is>
      </c>
    </row>
    <row r="52">
      <c r="A52" s="5" t="inlineStr">
        <is>
          <t>Argument</t>
        </is>
      </c>
      <c r="B52" s="5" t="inlineStr">
        <is>
          <t>2</t>
        </is>
      </c>
      <c r="C52" s="6" t="inlineStr">
        <is>
          <t>P-NoBackwardChain</t>
        </is>
      </c>
      <c r="D52" s="6" t="inlineStr">
        <is>
          <t>no backward-in-time chain can be built from the primitives</t>
        </is>
      </c>
      <c r="E52" s="5" t="inlineStr">
        <is>
          <t>089</t>
        </is>
      </c>
      <c r="F52" s="6" t="inlineStr">
        <is>
          <t>argued "by inspection of the primitive list"; a rigorous proof is still owed</t>
        </is>
      </c>
      <c r="G52" s="5" t="inlineStr">
        <is>
          <t>G2</t>
        </is>
      </c>
    </row>
    <row r="53">
      <c r="A53" s="5" t="inlineStr">
        <is>
          <t>Argument</t>
        </is>
      </c>
      <c r="B53" s="5" t="inlineStr">
        <is>
          <t>3</t>
        </is>
      </c>
      <c r="C53" s="6" t="inlineStr">
        <is>
          <t>P-SubstrateLocality</t>
        </is>
      </c>
      <c r="D53" s="6" t="inlineStr">
        <is>
          <t>things only touch their near neighbours</t>
        </is>
      </c>
      <c r="E53" s="5" t="inlineStr">
        <is>
          <t>089</t>
        </is>
      </c>
      <c r="F53" s="6" t="inlineStr">
        <is>
          <t>"an implicit consequence of P03 + P08"; the paper calls that argument loose</t>
        </is>
      </c>
      <c r="G53" s="5" t="inlineStr">
        <is>
          <t>G3</t>
        </is>
      </c>
    </row>
    <row r="54">
      <c r="A54" s="5" t="inlineStr">
        <is>
          <t>Argument</t>
        </is>
      </c>
      <c r="B54" s="5" t="inlineStr">
        <is>
          <t>4</t>
        </is>
      </c>
      <c r="C54" s="6" t="inlineStr">
        <is>
          <t>P-Primitive-Forward-Causality</t>
        </is>
      </c>
      <c r="D54" s="6" t="inlineStr">
        <is>
          <t>no signal ever goes backward</t>
        </is>
      </c>
      <c r="E54" s="5" t="inlineStr">
        <is>
          <t>094</t>
        </is>
      </c>
      <c r="F54" s="6" t="inlineStr">
        <is>
          <t>stated as following from P04, P11 and kernel retardation</t>
        </is>
      </c>
      <c r="G54" s="5" t="inlineStr">
        <is>
          <t>G4</t>
        </is>
      </c>
    </row>
    <row r="55">
      <c r="A55" s="5" t="inlineStr">
        <is>
          <t>Definition</t>
        </is>
      </c>
      <c r="B55" s="5" t="inlineStr">
        <is>
          <t>1</t>
        </is>
      </c>
      <c r="C55" s="6" t="inlineStr">
        <is>
          <t>P-EDThreshold-Collapse</t>
        </is>
      </c>
      <c r="D55" s="6" t="inlineStr">
        <is>
          <t>a nickname for "a threshold, an irreversible commitment and a projector, acting together"</t>
        </is>
      </c>
      <c r="E55" s="5" t="inlineStr">
        <is>
          <t>005_5 ("a naming convenience, not a new postulate")</t>
        </is>
      </c>
      <c r="F55" s="6" t="inlineStr">
        <is>
          <t>not counted</t>
        </is>
      </c>
      <c r="G55" s="5" t="inlineStr">
        <is>
          <t>D1</t>
        </is>
      </c>
    </row>
    <row r="56">
      <c r="A56" s="5" t="inlineStr">
        <is>
          <t>Definition</t>
        </is>
      </c>
      <c r="B56" s="5" t="inlineStr">
        <is>
          <t>2</t>
        </is>
      </c>
      <c r="C56" s="6" t="inlineStr">
        <is>
          <t>P-Motif-Algebra</t>
        </is>
      </c>
      <c r="D56" s="6" t="inlineStr">
        <is>
          <t>amplitudes can be added and scaled like arrows (they form a complex vector space)</t>
        </is>
      </c>
      <c r="E56" s="5" t="inlineStr">
        <is>
          <t>007 ("definitional")</t>
        </is>
      </c>
      <c r="F56" s="6" t="inlineStr">
        <is>
          <t>not counted</t>
        </is>
      </c>
      <c r="G56" s="5" t="inlineStr">
        <is>
          <t>D2</t>
        </is>
      </c>
    </row>
    <row r="57">
      <c r="A57" s="5" t="inlineStr">
        <is>
          <t>Definition</t>
        </is>
      </c>
      <c r="B57" s="5" t="inlineStr">
        <is>
          <t>3</t>
        </is>
      </c>
      <c r="C57" s="6" t="inlineStr">
        <is>
          <t>P-Hierarchy-Indexing</t>
        </is>
      </c>
      <c r="D57" s="6" t="inlineStr">
        <is>
          <t>kernels are sorted by their size, their memory and their reach</t>
        </is>
      </c>
      <c r="E57" s="5" t="inlineStr">
        <is>
          <t>092 (a classification scheme)</t>
        </is>
      </c>
      <c r="F57" s="6" t="inlineStr">
        <is>
          <t>not counted</t>
        </is>
      </c>
      <c r="G57" s="5" t="inlineStr">
        <is>
          <t>D3</t>
        </is>
      </c>
    </row>
  </sheetData>
  <autoFilter ref="A1:G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50" customWidth="1" min="4" max="4"/>
    <col width="9" customWidth="1" min="5" max="5"/>
    <col width="34" customWidth="1" min="6" max="6"/>
    <col width="26" customWidth="1" min="7" max="7"/>
    <col width="40" customWidth="1" min="8" max="8"/>
    <col width="70" customWidth="1" min="9" max="9"/>
    <col width="60" customWidth="1" min="10" max="10"/>
    <col width="50" customWidth="1" min="11" max="11"/>
    <col width="30" customWidth="1" min="12" max="12"/>
    <col width="12" customWidth="1" min="13" max="13"/>
    <col width="90" customWidth="1" min="14" max="14"/>
  </cols>
  <sheetData>
    <row r="1" ht="28" customHeight="1">
      <c r="A1" s="4" t="inlineStr">
        <is>
          <t>Result</t>
        </is>
      </c>
      <c r="B1" s="4" t="inlineStr">
        <is>
          <t>Sector</t>
        </is>
      </c>
      <c r="C1" s="4" t="inlineStr">
        <is>
          <t>What the paper claims</t>
        </is>
      </c>
      <c r="D1" s="4" t="inlineStr">
        <is>
          <t>Verdict (review 2026-09-12)</t>
        </is>
      </c>
      <c r="E1" s="4" t="inlineStr">
        <is>
          <t>Ledger row</t>
        </is>
      </c>
      <c r="F1" s="4" t="inlineStr">
        <is>
          <t>Source paper</t>
        </is>
      </c>
      <c r="G1" s="4" t="inlineStr">
        <is>
          <t>Foundation items used</t>
        </is>
      </c>
      <c r="H1" s="4" t="inlineStr">
        <is>
          <t>Borrowed from standard physics</t>
        </is>
      </c>
      <c r="I1" s="4" t="inlineStr">
        <is>
          <t>What it leans on</t>
        </is>
      </c>
      <c r="J1" s="4" t="inlineStr">
        <is>
          <t>How it could be killed</t>
        </is>
      </c>
      <c r="K1" s="4" t="inlineStr">
        <is>
          <t>What it is not</t>
        </is>
      </c>
      <c r="L1" s="4" t="inlineStr">
        <is>
          <t>Paper</t>
        </is>
      </c>
      <c r="M1" s="4" t="inlineStr">
        <is>
          <t>On the gravity chain</t>
        </is>
      </c>
      <c r="N1" s="4" t="inlineStr">
        <is>
          <t>What review found</t>
        </is>
      </c>
    </row>
    <row r="2">
      <c r="A2" s="6" t="inlineStr">
        <is>
          <t>The horizon as a decoupling surface</t>
        </is>
      </c>
      <c r="B2" s="5" t="inlineStr">
        <is>
          <t>black holes</t>
        </is>
      </c>
      <c r="C2" s="6" t="inlineStr">
        <is>
          <t>The paper claims a black-hole horizon is where the substrate's links between inside and outside die off: a different kind of object from a geometric boundary, though in the same place.</t>
        </is>
      </c>
      <c r="D2" s="6" t="inlineStr">
        <is>
          <t>Identification, not a derivation. The horizon's location is taken from general relativity, and the collapse of cross-chain transport there is asserted, not computed.</t>
        </is>
      </c>
      <c r="E2" s="5" t="n">
        <v>28</v>
      </c>
      <c r="F2" s="6" t="inlineStr">
        <is>
          <t>Horizon as Decoupling Surface_Trans Planckian Resolution_Planck Mass Remnant</t>
        </is>
      </c>
      <c r="G2" s="6" t="inlineStr">
        <is>
          <t>P02, P04, P05, P07, P09, P10, P11, P12, axiom 14, axiom 21</t>
        </is>
      </c>
      <c r="H2" s="6" t="inlineStr">
        <is>
          <t>the horizon's location, r_H; the surface gravity κ</t>
        </is>
      </c>
      <c r="I2" s="6" t="inlineStr">
        <is>
          <t>The horizon's position comes from general relativity. | GR-III's rule produces a b = 0 surface whose size grows with mass, but only because its linear solution is clipped at zero. That is not a strong-field derivation of a horizon. | The identification of κ with the P12 gradient is a matching step, not a calculation.</t>
        </is>
      </c>
      <c r="J2" s="6" t="inlineStr">
        <is>
          <t>No practical test is identified. A substrate-level calculation showing that V5 transport does not vanish at r_H would remove the identification.</t>
        </is>
      </c>
      <c r="K2" s="6" t="inlineStr">
        <is>
          <t>Not a derivation of the horizon's position, its area or its temperature. It is a claim about what a horizon *is* in the substrate.</t>
        </is>
      </c>
      <c r="L2" s="5" t="inlineStr">
        <is>
          <t>BH_02_Horizon_Mechanism.md</t>
        </is>
      </c>
      <c r="M2" s="5" t="inlineStr"/>
      <c r="N2" s="6" t="inlineStr">
        <is>
          <t>The paper says openly that the horizon radius r_H is GR's (§3.2). Its ED content is the statement that the cross-bandwidth Γ_cross vanishes at that surface. Γ_cross is defined but never evaluated. | The surface gravity κ is matched to a "P12 gradient", not computed. | No practical test separates this from ordinary general relativity. An earlier version of this page offered analogue black holes as a test. They cannot probe a Planck-scale substrate: an analogue horizon's microphysics is that of its medium. That test has been removed.</t>
        </is>
      </c>
    </row>
    <row r="3">
      <c r="A3" s="6" t="inlineStr">
        <is>
          <t>The Hawking temperature</t>
        </is>
      </c>
      <c r="B3" s="5" t="inlineStr">
        <is>
          <t>black holes</t>
        </is>
      </c>
      <c r="C3" s="6" t="inlineStr">
        <is>
          <t>The paper claims that near a horizon, the substrate's own cross-chain correlations become periodic in imaginary time, giving the temperature T = κ/2π.</t>
        </is>
      </c>
      <c r="D3" s="6" t="inlineStr">
        <is>
          <t>Identification, not a derivation. T = κ/2π is the standard result, with κ borrowed. That ED's correlators carry the periodicity is asserted.</t>
        </is>
      </c>
      <c r="E3" s="5" t="n">
        <v>36</v>
      </c>
      <c r="F3" s="6" t="inlineStr">
        <is>
          <t>Hawking Spectrum</t>
        </is>
      </c>
      <c r="G3" s="6" t="inlineStr">
        <is>
          <t>P02, P04, P05, P07, P09, P10, P11, P12, axiom 14, axiom 21</t>
        </is>
      </c>
      <c r="H3" s="6" t="inlineStr">
        <is>
          <t>the imaginary-time (Euclidean) route to the 2π; the surface gravity κ</t>
        </is>
      </c>
      <c r="I3" s="6" t="inlineStr">
        <is>
          <t>The formula, κ and the periodicity all come from standard semiclassical physics. ED's addition is the claim that its correlators are what carry the periodicity. | The non-thermal correction rests on an extra postulate, P-V5-Even, that is not on the foundation page. The temperature result does not need it.</t>
        </is>
      </c>
      <c r="J3" s="6" t="inlineStr">
        <is>
          <t>There is no distinctive test. A substrate calculation showing the V5 correlators are not periodic would remove the identification. The temperature itself stands or falls with standard semiclassical physics.</t>
        </is>
      </c>
      <c r="K3" s="6" t="inlineStr">
        <is>
          <t>Not a derivation of the Hawking formula, and not a testable prediction beyond it.</t>
        </is>
      </c>
      <c r="L3" s="5" t="inlineStr">
        <is>
          <t>BH_03_Hawking_Temperature.md</t>
        </is>
      </c>
      <c r="M3" s="5" t="inlineStr"/>
      <c r="N3" s="6" t="inlineStr">
        <is>
          <t>Every input to the temperature is inherited: κ, the horizon's location, and the Euclidean periodicity. The paper's own audit marks its §3 steps as inherited. | That V5 correlators are periodic is asserted by appeal to coarse-graining (DCGT), not computed. | The paper's separate "headline" prediction has no fixed content. The prediction is a non-thermal correction of order (ω/ω_c)². Its cutoff is chosen (ω_c = c/ℓ_P), its parity is postulated (P-V5-Even) and its coefficient is undetermined. For any black hole well above the Planck mass it is unobservably small. | Analogue experiments cannot test that prediction. An analogue horizon's deviations from thermality come from its medium's dispersion (Unruh 1995 onward), not from a Planck-scale substrate. The analogue falsifier on the earlier version of this page has been removed.</t>
        </is>
      </c>
    </row>
    <row r="4">
      <c r="A4" s="6" t="inlineStr">
        <is>
          <t>The black-hole entropy coefficient 1/4</t>
        </is>
      </c>
      <c r="B4" s="5" t="inlineStr">
        <is>
          <t>black holes</t>
        </is>
      </c>
      <c r="C4" s="6" t="inlineStr">
        <is>
          <t>The paper claims that ED produces the coefficient, not just the area law: a black hole's entropy is S = A/4 in Planck units, with both halves of the 1/4 coming from ED's own geometry.</t>
        </is>
      </c>
      <c r="D4" s="6" t="inlineStr">
        <is>
          <t>Not established. The calculation is general relativity's own. It needs the exact Schwarzschild metric in areal coordinates and r_s = 2GM, and ED derives neither.</t>
        </is>
      </c>
      <c r="E4" s="5" t="n">
        <v>41</v>
      </c>
      <c r="F4" s="6" t="inlineStr">
        <is>
          <t>Thermal 2Pi_Entropy Coefficient</t>
        </is>
      </c>
      <c r="G4" s="6" t="inlineStr">
        <is>
          <t>—</t>
        </is>
      </c>
      <c r="H4" s="6" t="inlineStr">
        <is>
          <t>Euclidean continuation (turning time imaginary); the smoothness condition (no conical defect); the Schwarzschild metric in areal coordinates</t>
        </is>
      </c>
      <c r="I4" s="6" t="inlineStr">
        <is>
          <t>The horizon shape comes from GR-III, whose lapse comes from GR-I, and that lapse rests on a band-accounting premise that is argued rather than closed. | The areal-coordinate form of the metric and r_s = 2GM, neither derived (see "What review found"). | The 2π comes from a reversible-time device, used in a theory whose defining primitive is an irreversible arrow. The paper flags a continuation-free route as open, and its own attempt at one failed (§4b).</t>
        </is>
      </c>
      <c r="J4" s="6" t="inlineStr">
        <is>
          <t>A consistent derivation of ED's metric in a single coordinate form that is not Schwarzschild at second order would remove it. The isotropic form GR-I uses is already such a case.</t>
        </is>
      </c>
      <c r="K4" s="6" t="inlineStr">
        <is>
          <t>Not a derivation of the 1/4 independent of general relativity. Not a derivation of the horizon's location. Not a continuation-free derivation of the 2π.</t>
        </is>
      </c>
      <c r="L4" s="5" t="inlineStr">
        <is>
          <t>BH_01_Entropy_Coefficient.md</t>
        </is>
      </c>
      <c r="M4" s="5" t="inlineStr">
        <is>
          <t>yes</t>
        </is>
      </c>
      <c r="N4" s="6" t="inlineStr">
        <is>
          <t>The algebra is correct, and it is the standard Gibbons–Hawking calculation: continue to imaginary time, require no conical defect, read off T = κ/2π, integrate the first law. | S = A/4 needs two things GR-I does not derive: r_s = 2GM exactly, and A = 4πr_s². With r_s = kGM the first law gives S = A/(2k), so the 1/4 requires k = 2. That 2 comes from GR-I's identification b ∼ 1 + 2Φ, which matches the metric to Newtonian gravity; it is not derived. Together they are the Schwarzschild metric in areal-radius coordinates. GR-I builds its metric in isotropic form, g_ij = b⁻¹δ_ij. In that form the horizon area r²/b diverges at b = 0, and the second-order metric gives PPN β = 0, which observation excludes. The switch to the areal form is not justified. | A statement on this page was wrong. It said the exact horizon radius did not matter because a horizon forming at all "is all this derivation needs". The coefficient depends directly on that radius. | Net: ED reproduces GR's 1/4 by adopting GR's metric. It gives no independent derivation.</t>
        </is>
      </c>
    </row>
    <row r="5">
      <c r="A5" s="6" t="inlineStr">
        <is>
          <t>Primordial and present-day gravitational waves</t>
        </is>
      </c>
      <c r="B5" s="5" t="inlineStr">
        <is>
          <t>cosmology</t>
        </is>
      </c>
      <c r="C5" s="6" t="inlineStr">
        <is>
          <t>The paper claims that gravitational waves left over from the early universe and those detected today come from one substrate process, fluctuations in the shape of the stability landscape, rather than two mechanisms that look alike.</t>
        </is>
      </c>
      <c r="D5" s="6" t="inlineStr">
        <is>
          <t>Identification, not a derivation. The paper's own audit has no derived steps; everything numerical is standard inflation and observational data.</t>
        </is>
      </c>
      <c r="E5" s="5" t="n">
        <v>44</v>
      </c>
      <c r="F5" s="6" t="inlineStr">
        <is>
          <t>Inflationary Spectrum</t>
        </is>
      </c>
      <c r="G5" s="6" t="inlineStr">
        <is>
          <t>P02, P03, P09, P10, P11, P12, P13, axiom 11</t>
        </is>
      </c>
      <c r="H5" s="6" t="inlineStr">
        <is>
          <t>the slow-roll consistency relation n_T = −r/8; the whole numerical spectrum (n_s, A_s, r)</t>
        </is>
      </c>
      <c r="I5" s="6" t="inlineStr">
        <is>
          <t>Three unaudited upstream papers: saddle classification, the gravitational-wave framework and the saturation regime. | Everything numerical is inherited. ED supplies no value here.</t>
        </is>
      </c>
      <c r="J5" s="6" t="inlineStr">
        <is>
          <t>The tests listed in the paper (violation of n_T = −r/8, non-Gaussianity) test standard inflation, not ED. No ED-specific test is stated.</t>
        </is>
      </c>
      <c r="K5" s="6" t="inlineStr">
        <is>
          <t>Not a prediction of the primordial spectrum, and not a derivation of inflation.</t>
        </is>
      </c>
      <c r="L5" s="5" t="inlineStr">
        <is>
          <t>COS_01_Primordial_Tensor_Modes.md</t>
        </is>
      </c>
      <c r="M5" s="5" t="inlineStr"/>
      <c r="N5" s="6" t="inlineStr">
        <is>
          <t>Everything quantitative is standard. The scalar and tensor spectra, the slow-roll relations and every value come from standard inflation and Planck/BICEP data. | The ED content is naming. It calls tensor fluctuations "saddle-Hessian-signature fluctuations" and says present-day waves are the same thing. That rests on three upstream papers that are not in this repository and have never been audited. | There is no mechanism behind "same mechanism". ED builds no dynamics for gravitational waves (see ED's gravitational class).</t>
        </is>
      </c>
    </row>
    <row r="6">
      <c r="A6" s="6" t="inlineStr">
        <is>
          <t>Geodesic motion</t>
        </is>
      </c>
      <c r="B6" s="5" t="inlineStr">
        <is>
          <t>gravity</t>
        </is>
      </c>
      <c r="C6" s="6" t="inlineStr">
        <is>
          <t>The paper claims that in ED, "matter is conserved" and "matter falls along the straightest available path" are the same statement.</t>
        </is>
      </c>
      <c r="D6" s="6" t="inlineStr">
        <is>
          <t>Textbook result, restated in ED terms. For dust, covariant conservation and geodesic motion are equivalent in any metric theory. ED's own input, that its bandwidth current is that conserved current, is asserted.</t>
        </is>
      </c>
      <c r="E6" s="5" t="n">
        <v>66</v>
      </c>
      <c r="F6" s="6" t="inlineStr">
        <is>
          <t>GR-II_ED Gravity is Khronometric Class</t>
        </is>
      </c>
      <c r="G6" s="6" t="inlineStr">
        <is>
          <t>P04, P05</t>
        </is>
      </c>
      <c r="H6" s="6" t="inlineStr">
        <is>
          <t>none</t>
        </is>
      </c>
      <c r="I6" s="6" t="inlineStr">
        <is>
          <t>Exact for dust. Pressure and stress need dynamics that ED does not supply. | The conservation of the bandwidth current, which is asserted.</t>
        </is>
      </c>
      <c r="J6" s="6" t="inlineStr">
        <is>
          <t>Empirically, a leading-order violation of the equivalence principle for pressureless matter, which would also contradict general relativity. For ED specifically: showing the bandwidth current is not covariantly conserved.</t>
        </is>
      </c>
      <c r="K6" s="6" t="inlineStr">
        <is>
          <t>Not a derivation of the Einstein equations, and not a new result. It is the standard identity, stated for ED's current.</t>
        </is>
      </c>
      <c r="L6" s="5" t="inlineStr">
        <is>
          <t>GRAV_01_Geodesic_Motion.md</t>
        </is>
      </c>
      <c r="M6" s="5" t="inlineStr">
        <is>
          <t>yes</t>
        </is>
      </c>
      <c r="N6" s="6" t="inlineStr">
        <is>
          <t>The identity is standard: given ∇_μJ^μ = 0 with J = ρu, the divergence ∇_μ(ρu^μu^ν) equals ρa^ν, so conservation is equivalent to geodesic motion. This is true in general relativity and in any metric theory. | ED's input is asserted. GR-II §3.1 says the bandwidth current is covariantly conserved "by dual-flux typing". For light, the "discrete Fermat principle" is likewise asserted. | The metric this runs on is fixed only to first order (see the review note on GR-I).</t>
        </is>
      </c>
    </row>
    <row r="7">
      <c r="A7" s="6" t="inlineStr">
        <is>
          <t>ED's gravitational class</t>
        </is>
      </c>
      <c r="B7" s="5" t="inlineStr">
        <is>
          <t>gravity</t>
        </is>
      </c>
      <c r="C7" s="6" t="inlineStr">
        <is>
          <t>The paper claims ED's gravity is khronometric: Einstein's two gravitational-wave modes plus one extra scalar, because the arrow of time written into the law picks out a preferred slicing of time.</t>
        </is>
      </c>
      <c r="D7" s="6" t="inlineStr">
        <is>
          <t>Not established. The class is assumed, not derived. The only dynamics ED actually builds is a scalar diffusion equation, which has no waves and no tensor modes.</t>
        </is>
      </c>
      <c r="E7" s="5" t="n">
        <v>67</v>
      </c>
      <c r="F7" s="6" t="inlineStr">
        <is>
          <t>GR-II_ED Gravity is Khronometric Class</t>
        </is>
      </c>
      <c r="G7" s="6" t="inlineStr">
        <is>
          <t>P11, P13, P02</t>
        </is>
      </c>
      <c r="H7" s="6" t="inlineStr">
        <is>
          <t>none</t>
        </is>
      </c>
      <c r="I7" s="6" t="inlineStr">
        <is>
          <t>The assumption that ED is a metric theory in this class. It is not shown from ED's dynamics. | The extra scalar's parameters are not computed.</t>
        </is>
      </c>
      <c r="J7" s="6" t="inlineStr">
        <is>
          <t>Constructing ED's dynamics for the metric and finding a different mode count. Empirically, excluding any scalar gravitational-wave polarization at the relevant sensitivity.</t>
        </is>
      </c>
      <c r="K7" s="6" t="inlineStr">
        <is>
          <t>Not a derivation of ED's gravitational class. It is a conjecture about which class ED would fall into.</t>
        </is>
      </c>
      <c r="L7" s="5" t="inlineStr">
        <is>
          <t>GRAV_02_Khronometric_Class.md</t>
        </is>
      </c>
      <c r="M7" s="5" t="inlineStr">
        <is>
          <t>yes</t>
        </is>
      </c>
      <c r="N7" s="6" t="inlineStr">
        <is>
          <t>The count "2 tensor + 1 scalar" is borrowed, not derived. It is what khronometric gravity has. ED arrives at it by assuming it is a metric theory with a preferred foliation, then quoting the known count for that class. | ED's only built dynamics is a single scalar. GR-III's rule, ḃ = D∇²b − κρ, is first-order in time and describes one scalar. A disturbance e^{i(kx−ωt)} gives ω = −iDk²: it decays without travelling, so the rule has no waves at all. No tensor sector is ever constructed from it. | Lovelock's theorem has nothing to apply to. It needs field equations built from a metric, and ED has none. | What survives is a conjecture worth stating as one: that a fundamental arrow of time implies a preferred foliation.</t>
        </is>
      </c>
    </row>
    <row r="8">
      <c r="A8" s="6" t="inlineStr">
        <is>
          <t>Gravitational-wave speed</t>
        </is>
      </c>
      <c r="B8" s="5" t="inlineStr">
        <is>
          <t>gravity</t>
        </is>
      </c>
      <c r="C8" s="6" t="inlineStr">
        <is>
          <t>The paper claims gravitational waves and light share one speed because they share one substrate and one transport, so the 2017 neutron-star observation is an identity in ED rather than a constraint.</t>
        </is>
      </c>
      <c r="D8" s="6" t="inlineStr">
        <is>
          <t>Not established. The wave equation with speed c is written in by hand, and ED builds no dynamics for gravitational waves. Nature satisfies c_T = c, and ED is consistent with it by assumption.</t>
        </is>
      </c>
      <c r="E8" s="5" t="n">
        <v>68</v>
      </c>
      <c r="F8" s="6" t="inlineStr">
        <is>
          <t>GR-II_ED Gravity is Khronometric Class</t>
        </is>
      </c>
      <c r="G8" s="6" t="inlineStr">
        <is>
          <t>P05, axiom 21</t>
        </is>
      </c>
      <c r="H8" s="6" t="inlineStr">
        <is>
          <t>none</t>
        </is>
      </c>
      <c r="I8" s="6" t="inlineStr">
        <is>
          <t>The existence of tensor waves travelling at the limiting speed, which is assumed. | The same argument implies that any Lorentz violation would affect all species equally. That holds only as far as the assumption does.</t>
        </is>
      </c>
      <c r="J8" s="6" t="inlineStr">
        <is>
          <t>A measured difference between the speed of gravitational waves and the speed of light, which would also contradict general relativity.</t>
        </is>
      </c>
      <c r="K8" s="6" t="inlineStr">
        <is>
          <t>Not a new prediction, and not a derivation. ED is consistent with c_T = c by construction of its assumptions.</t>
        </is>
      </c>
      <c r="L8" s="5" t="inlineStr">
        <is>
          <t>GRAV_03_Gravity_Waves_At_c.md</t>
        </is>
      </c>
      <c r="M8" s="5" t="inlineStr">
        <is>
          <t>yes</t>
        </is>
      </c>
      <c r="N8" s="6" t="inlineStr">
        <is>
          <t>"One substrate, one cone" only sets a maximum speed. It limits how fast any signal can travel. It does not show that gravitational perturbations exist as waves, or that they travel at that maximum. | The wave equation is assumed. GR-III's propagating sector writes ḧ_ij = c²∇²h_ij directly. The rule GR-III actually builds is diffusive (ω = −iDk²), with no wave speed at all. | The observation is real (GW170817). ED's derivation of it is missing.</t>
        </is>
      </c>
    </row>
    <row r="9">
      <c r="A9" s="6" t="inlineStr">
        <is>
          <t>The speed of the extra gravitational mode</t>
        </is>
      </c>
      <c r="B9" s="5" t="inlineStr">
        <is>
          <t>gravity</t>
        </is>
      </c>
      <c r="C9" s="6" t="inlineStr">
        <is>
          <t>The paper claims the extra scalar mode ED's gravity carries travels at the speed of light, where generic theories in this class allow a second, different cone.</t>
        </is>
      </c>
      <c r="D9" s="6" t="inlineStr">
        <is>
          <t>Not established. The argument conflicts with the standard khronometric formula that GR-IV relies on.</t>
        </is>
      </c>
      <c r="E9" s="5" t="n">
        <v>70</v>
      </c>
      <c r="F9" s="6" t="inlineStr">
        <is>
          <t>GR-III_Dynamical Rule</t>
        </is>
      </c>
      <c r="G9" s="6" t="inlineStr">
        <is>
          <t>P11, P04, P02, P13</t>
        </is>
      </c>
      <c r="H9" s="6" t="inlineStr">
        <is>
          <t>none</t>
        </is>
      </c>
      <c r="I9" s="6" t="inlineStr">
        <is>
          <t>A non-standard parametrization of the scalar speed. | It shares the gravity block's dependence on the band-accounting premise.</t>
        </is>
      </c>
      <c r="J9" s="6" t="inlineStr">
        <is>
          <t>It is already contradicted by the standard formula unless the tuning α = λ/(1+2λ) is derived. Empirically: a scalar gravitational-wave polarization moving at a speed measurably different from light.</t>
        </is>
      </c>
      <c r="K9" s="6" t="inlineStr">
        <is>
          <t>Not an established result about ED's scalar mode.</t>
        </is>
      </c>
      <c r="L9" s="5" t="inlineStr">
        <is>
          <t>GRAV_04_Khronon_Speed.md</t>
        </is>
      </c>
      <c r="M9" s="5" t="inlineStr">
        <is>
          <t>yes</t>
        </is>
      </c>
      <c r="N9" s="6" t="inlineStr">
        <is>
          <t>GR-III's route: it gets c_s = c from the absence of a λθ² term, which means λ = 0. | The standard formula says otherwise. In the khronometric parametrization GR-IV uses (§3), with β = 0 the scalar speed is c_s² = λ(2−α)/α(2+3λ)]. With λ = 0 that gives zero, not c. | c_s = c needs a tuning. It requires α = λ/(1+2λ) with λ ≠ 0, and nothing in ED supplies that tuning. | The cited simulation doesn't bear on the question. It shows that a dissipative term damps a wave without changing its speed. That is true of damped waves in general and says nothing about ED's scalar in particular.</t>
        </is>
      </c>
    </row>
    <row r="10">
      <c r="A10" s="6" t="inlineStr">
        <is>
          <t>The preferred-frame parameter α₂</t>
        </is>
      </c>
      <c r="B10" s="5" t="inlineStr">
        <is>
          <t>gravity</t>
        </is>
      </c>
      <c r="C10" s="6" t="inlineStr">
        <is>
          <t>The paper claims ED's preferred-frame parameter α₂ is exactly zero, because both of its gravitational cones are at the speed of light.</t>
        </is>
      </c>
      <c r="D10" s="6" t="inlineStr">
        <is>
          <t>Not established. The algebra is correct, but α₂ = 0 is the same equation as the khronon-speed condition, and that condition is itself not established.</t>
        </is>
      </c>
      <c r="E10" s="5" t="n">
        <v>71</v>
      </c>
      <c r="F10" s="6" t="inlineStr">
        <is>
          <t>GR-IV_Preferred Frame Safety_Quantum Coherence</t>
        </is>
      </c>
      <c r="G10" s="6" t="inlineStr">
        <is>
          <t>none directly</t>
        </is>
      </c>
      <c r="H10" s="6" t="inlineStr">
        <is>
          <t>the published preferred-frame formulas for this class of theory</t>
        </is>
      </c>
      <c r="I10" s="6" t="inlineStr">
        <is>
          <t>Both luminal conditions, neither derived for ED. | The uncomputed correction ε′ to the scalar speed.</t>
        </is>
      </c>
      <c r="J10" s="6" t="inlineStr">
        <is>
          <t>A measured α₂ well above the scale of ε′. But this is only meaningful once c_s = c is actually derived.</t>
        </is>
      </c>
      <c r="K10" s="6" t="inlineStr">
        <is>
          <t>Not an independent success, and not a result about ED until the luminal conditions are derived. What stands is a correct statement about khronometric gravity in general.</t>
        </is>
      </c>
      <c r="L10" s="5" t="inlineStr">
        <is>
          <t>GRAV_05_Alpha2_Zero.md</t>
        </is>
      </c>
      <c r="M10" s="5" t="inlineStr">
        <is>
          <t>yes</t>
        </is>
      </c>
      <c r="N10" s="6" t="inlineStr">
        <is>
          <t>The algebra is correct and was checked against the literature. In khronometric gravity with β = 0, the α₂ numerator vanishes exactly when α = λ/(1+2λ). This is a true general statement: if both speeds are luminal, α₂ vanishes identically. | That condition is c_s = c, which is not established for ED (see the speed of the extra gravitational mode). | The companion α₁ estimate is not established either. GR-IV puts α₁ at about 10⁻⁹³ using the dimensional estimate λ_local ∼ ρ_event/ρ_Planck, which turns a constant coupling into a position-dependent field without changing the theory's action. | Couplings that small create a strong-coupling problem. Using the literature scaling √λ·M_P, a coupling of order 10⁻⁹³ puts the strong-coupling scale near 4×10⁻¹⁹ eV, so the theory would stop being perturbative at essentially every energy. The scaling is quoted, not re-derived.</t>
        </is>
      </c>
    </row>
    <row r="11">
      <c r="A11" s="6" t="inlineStr">
        <is>
          <t>Gauge groups and channel multiplicity</t>
        </is>
      </c>
      <c r="B11" s="5" t="inlineStr">
        <is>
          <t>quantum field theory</t>
        </is>
      </c>
      <c r="C11" s="6" t="inlineStr">
        <is>
          <t>The paper claims a family of N indistinguishable channels has structure group U(N) = (SU(N) × U(1))/Z_N, so non-abelian gauge structure comes from having more than one channel, and the Standard Model's groups correspond to multiplicities {1, 2, 3}.</t>
        </is>
      </c>
      <c r="D11" s="6" t="inlineStr">
        <is>
          <t>Textbook result, restated in ED terms. Norm-preserving invertible maps on C^N form U(N). The match to the Standard Model does not hold as stated.</t>
        </is>
      </c>
      <c r="E11" s="5" t="n">
        <v>84</v>
      </c>
      <c r="F11" s="6" t="inlineStr">
        <is>
          <t>MatterSector_Gauge_Spin_Chirality_3D</t>
        </is>
      </c>
      <c r="G11" s="6" t="inlineStr">
        <is>
          <t>P04, P07, P09, axiom 14, axiom 21, definition 2</t>
        </is>
      </c>
      <c r="H11" s="6" t="inlineStr">
        <is>
          <t>the Standard Model's own multiplicities {1, 2, 3}; the coupling strengths</t>
        </is>
      </c>
      <c r="I11" s="6" t="inlineStr">
        <is>
          <t>The unnamed invertibility step. | An assumed internal dimension d = 3 for the bound on N.</t>
        </is>
      </c>
      <c r="J11" s="6" t="inlineStr">
        <is>
          <t>The linear-algebra step cannot fail. The physical claims attached to it already conflict with the Standard Model: hypercharge is chiral, and the group structure does not match.</t>
        </is>
      </c>
      <c r="K11" s="6" t="inlineStr">
        <is>
          <t>Not a derivation of the Standard Model's gauge group, and not a correct account of which groups appear.</t>
        </is>
      </c>
      <c r="L11" s="5" t="inlineStr">
        <is>
          <t>QFT_01_Gauge_Group.md</t>
        </is>
      </c>
      <c r="M11" s="5" t="inlineStr"/>
      <c r="N11" s="6" t="inlineStr">
        <is>
          <t>The main step is standard linear algebra: U(N) is the group of norm-preserving transformations of C^N. | The multiplicities don't produce the Standard Model group. Multiplicities {1, 2, 3} give U(1) × U(2) × U(3), which has three abelian factors. The Standard Model group, (SU(3) × SU(2) × U(1))/Z₆, has one. | One kill condition was already met, and has been removed. The earlier version of this page listed "a parity-violating abelian force" as a way to kill the result. The Standard Model already has one: hypercharge U(1)_Y couples differently to left- and right-handed fermions. So the paper's claim that ED's abelian coupling is blind to handedness is contradicted by known physics. | The "no stable SU(N ≥ 4)" bound is assumed, not derived. It rests on an internal amplitude dimension d = 3 that the paper takes as given. | One step is unnamed. "Invertibility between commitments", which turns an isometry into a unitary, is not one of the primitives, and it sits awkwardly with the irreversibility of P11. | Two errors were corrected in the paper on 2026-09-11: the group identity, which still needed fixing in the paper's abstract and has now been fixed, and the primitive cited for channel multiplicity, which should have been P07 rather than P08.</t>
        </is>
      </c>
    </row>
    <row r="12">
      <c r="A12" s="6" t="inlineStr">
        <is>
          <t>The 1/2 in kinetic energy</t>
        </is>
      </c>
      <c r="B12" s="5" t="inlineStr">
        <is>
          <t>quantum kinematics</t>
        </is>
      </c>
      <c r="C12" s="6" t="inlineStr">
        <is>
          <t>The paper claims that under a change of velocity, the substrate's position-type content stays put while its motion-type content transforms, and that this asymmetry puts the factor of one half into kinetic energy.</t>
        </is>
      </c>
      <c r="D12" s="6" t="inlineStr">
        <is>
          <t>Textbook result, restated in ED terms. The 1/2 comes from the Taylor expansion of the relativistic energy, which the paper inherits. The substrate argument restates it.</t>
        </is>
      </c>
      <c r="E12" s="5" t="n">
        <v>89</v>
      </c>
      <c r="F12" s="6" t="inlineStr">
        <is>
          <t>Adjacency-Bandwidth Asymmetry from Spatial Homogeneity</t>
        </is>
      </c>
      <c r="G12" s="6" t="inlineStr">
        <is>
          <t>P03, P05, P04, P10, conditions 22 to 26</t>
        </is>
      </c>
      <c r="H12" s="6" t="inlineStr">
        <is>
          <t>the relativistic energy E² = p²c² + m²c⁴ and its expansion; standard Galilean transformation theory; the mass m</t>
        </is>
      </c>
      <c r="I12" s="6" t="inlineStr">
        <is>
          <t>The inherited Taylor expansion. | The paper itself says the full Galilean group structure is open.</t>
        </is>
      </c>
      <c r="J12" s="6" t="inlineStr">
        <is>
          <t>A kinetic-energy coefficient other than 1/2 would contradict all of physics, not ED specifically. There is no ED-specific test.</t>
        </is>
      </c>
      <c r="K12" s="6" t="inlineStr">
        <is>
          <t>Not a derivation of the 1/2, the Galilean group or mass.</t>
        </is>
      </c>
      <c r="L12" s="5" t="inlineStr">
        <is>
          <t>QM_01_Galilean_Asymmetry.md</t>
        </is>
      </c>
      <c r="M12" s="5" t="inlineStr"/>
      <c r="N12" s="6" t="inlineStr">
        <is>
          <t>The argument is circular. Step 8 of the paper's audit imports E_kin = p²/2m from the expansion of √(p²c² + m²c⁴). The "Galilean Jacobian" steps then restate that result; they do not produce the 1/2 independently. | The adjacency/propagation split is vocabulary for position and momentum. The claim that it underlies x, p] = iħ is asserted.</t>
        </is>
      </c>
    </row>
    <row r="13">
      <c r="A13" s="6" t="inlineStr">
        <is>
          <t>The spinor frame is unique</t>
        </is>
      </c>
      <c r="B13" s="5" t="inlineStr">
        <is>
          <t>relativistic quantum mechanics</t>
        </is>
      </c>
      <c r="C13" s="6" t="inlineStr">
        <is>
          <t>In 3+1 dimensions there is exactly one four-component spinor structure up to a change of basis, so the Dirac, Weyl and Majorana forms of the gamma matrices are the same object written differently.</t>
        </is>
      </c>
      <c r="D13" s="6" t="inlineStr">
        <is>
          <t>Textbook result, restated in ED terms. This is Pauli's fundamental theorem on gamma matrices. ED assumes the dimension (P06) and inherits the signature.</t>
        </is>
      </c>
      <c r="E13" s="5" t="n">
        <v>90</v>
      </c>
      <c r="F13" s="6" t="inlineStr">
        <is>
          <t>Frame Uniqueness_Clifford 3_1</t>
        </is>
      </c>
      <c r="G13" s="6" t="inlineStr">
        <is>
          <t>P06, P03, P05, P09, P10, condition 23</t>
        </is>
      </c>
      <c r="H13" s="6" t="inlineStr">
        <is>
          <t>Clifford algebra, Pauli's theorem on gamma matrices, Schur's lemma</t>
        </is>
      </c>
      <c r="I13" s="6" t="inlineStr">
        <is>
          <t>The assumed dimension and the inherited signature.</t>
        </is>
      </c>
      <c r="J13" s="6" t="inlineStr">
        <is>
          <t>Nothing here is specific to ED. The mathematics is settled, and the physical input, 3+1 dimensions, is assumed.</t>
        </is>
      </c>
      <c r="K13" s="6" t="inlineStr">
        <is>
          <t>Not a derivation of the Dirac equation, and not a derivation of the dimension of spacetime.</t>
        </is>
      </c>
      <c r="L13" s="5" t="inlineStr">
        <is>
          <t>RQM_01_Spinor_Frame.md</t>
        </is>
      </c>
      <c r="M13" s="5" t="inlineStr"/>
      <c r="N13" s="6" t="inlineStr">
        <is>
          <t>The result is correct. The heavy lifting is Pauli's theorem and Schur's lemma. | ED supplies no input beyond assuming 3+1 dimensions. The Lorentzian signature is inherited from another paper. | One minor error. The paper calls the choice between Cl(3,1) and Cl(1,3) a convention. That is true for complex representations, but as real algebras the two are not isomorphic, which matters for Majorana spinors. The uniqueness claim is unaffected. | The earlier kill conditions were mostly "Pauli's theorem is wrong". That is not a physical test.</t>
        </is>
      </c>
    </row>
    <row r="14">
      <c r="A14" s="6" t="inlineStr">
        <is>
          <t>No anyons in three dimensions</t>
        </is>
      </c>
      <c r="B14" s="5" t="inlineStr">
        <is>
          <t>relativistic quantum mechanics</t>
        </is>
      </c>
      <c r="C14" s="6" t="inlineStr">
        <is>
          <t>In three-dimensional space, exchanging two identical particles can only give a scalar phase of +1 or −1. Continuous exchange phases (anyons) need two dimensions.</t>
        </is>
      </c>
      <c r="D14" s="6" t="inlineStr">
        <is>
          <t>Textbook result, restated in ED terms. It is correct: this is Leinaas–Myrheim (1977), with the spatial dimension assumed by P06.</t>
        </is>
      </c>
      <c r="E14" s="5" t="n">
        <v>91</v>
      </c>
      <c r="F14" s="6" t="inlineStr">
        <is>
          <t>Anyon Prohibition in 3_1D</t>
        </is>
      </c>
      <c r="G14" s="6" t="inlineStr">
        <is>
          <t>P06, P10, P03</t>
        </is>
      </c>
      <c r="H14" s="6" t="inlineStr">
        <is>
          <t>the topology of configuration spaces, and braid-group representation theory</t>
        </is>
      </c>
      <c r="I14" s="6" t="inlineStr">
        <is>
          <t>The assumed dimension, and standard mathematics.</t>
        </is>
      </c>
      <c r="J14" s="6" t="inlineStr">
        <is>
          <t>Nothing here is specific to ED. Genuinely three-dimensional anyons in the bulk of a material would contradict standard physics as well.</t>
        </is>
      </c>
      <c r="K14" s="6" t="inlineStr">
        <is>
          <t>Not a new prediction, and not a derivation of why space has three dimensions.</t>
        </is>
      </c>
      <c r="L14" s="5" t="inlineStr">
        <is>
          <t>RQM_02_No_Anyons.md</t>
        </is>
      </c>
      <c r="M14" s="5" t="inlineStr"/>
      <c r="N14" s="6" t="inlineStr">
        <is>
          <t>The mathematics is correct, and ED adds nothing to it beyond assuming three spatial dimensions. | The claim was overstated. The earlier version of this page said bosons and fermions "exhaust the options". That holds for scalar phases only. Topology does not exclude the higher-dimensional representations of the permutation group (parastatistics). | It is "cleanest" only because nothing ED-specific is in it. The earlier version called this the cleanest of the sixteen, and it is, for that reason.</t>
        </is>
      </c>
    </row>
    <row r="15">
      <c r="A15" s="6" t="inlineStr">
        <is>
          <t>Charge as a winding number</t>
        </is>
      </c>
      <c r="B15" s="5" t="inlineStr">
        <is>
          <t>substrate tests</t>
        </is>
      </c>
      <c r="C15" s="6" t="inlineStr">
        <is>
          <t>A U(1) polarity angle committed single-valued around a closed loop winds a whole number of times, and that number cannot change while the loop exists. The paper reads it as the topological skeleton of electric charge.</t>
        </is>
      </c>
      <c r="D15" s="6" t="inlineStr">
        <is>
          <t>Textbook result, restated in ED terms. The integer winding of a U(1) phase around a loop is standard topology. The paper adds an honest negative result about the field.</t>
        </is>
      </c>
      <c r="E15" s="5" t="n">
        <v>93</v>
      </c>
      <c r="F15" s="6" t="inlineStr">
        <is>
          <t>Charge As Topology_Winding_Integral Gauss Law</t>
        </is>
      </c>
      <c r="G15" s="6" t="inlineStr">
        <is>
          <t>P09, P05, P11, P04</t>
        </is>
      </c>
      <c r="H15" s="6" t="inlineStr">
        <is>
          <t>that a circle's loops are counted by the integers</t>
        </is>
      </c>
      <c r="I15" s="6" t="inlineStr">
        <is>
          <t>No field. At the discrete layer there is no determined local field. The paper's fork shows one appears only by giving up both orientation-blindness and the arrow. | Inert winding. It couples only weakly and does not drive the stability landscape. | Live loops. The integer cannot change while its loop exists, but the loop itself is not protected. In this account charge is a property of a live loop around a thing. | No charge spectrum. None is produced: no ±1, no ∓⅓.</t>
        </is>
      </c>
      <c r="J15" s="6" t="inlineStr">
        <is>
          <t>The integer winding itself cannot fail. The ED-specific claim at risk is the negative result: obtaining a determined local 1/r² field while keeping both orientation-blindness and the arrow would overturn it.</t>
        </is>
      </c>
      <c r="K15" s="6" t="inlineStr">
        <is>
          <t>Not a derivation of electric charge, its values or Coulomb's law.</t>
        </is>
      </c>
      <c r="L15" s="5" t="inlineStr">
        <is>
          <t>SUB_01_Charge_As_Winding.md</t>
        </is>
      </c>
      <c r="M15" s="5" t="inlineStr"/>
      <c r="N15" s="6" t="inlineStr">
        <is>
          <t>The winding is an integer by construction. π₁(U(1)) = ℤ, so for a single-valued phase the result is exact. The simulation's "machine precision" check could not have failed. | "Integral Gauss law" is an analogy. The fact that the winding doesn't depend on which loop you take is the ordinary vortex winding of the XY / lattice U(1) model. Gauss's law counts the flux of a field, and here there is no field, as the paper itself says. | "Protected by the arrow" is an interpretation, not a separate result. | What holds up is the fork, a real and honestly reported negative: a determined 1/r² field appears only when both orientation-blindness and irreversibility are dropped, that is, only by leaving ED.</t>
        </is>
      </c>
    </row>
    <row r="16">
      <c r="A16" s="6" t="inlineStr">
        <is>
          <t>If the world is left-handed, it chose to be</t>
        </is>
      </c>
      <c r="B16" s="5" t="inlineStr">
        <is>
          <t>substrate tests</t>
        </is>
      </c>
      <c r="C16" s="6" t="inlineStr">
        <is>
          <t>The paper claims that a substrate whose rules do not favour a handedness cannot produce a handed transport, for any number of channels. So parity violation cannot be written into ED's law; it has to be a broken symmetry.</t>
        </is>
      </c>
      <c r="D16" s="6" t="inlineStr">
        <is>
          <t>Modest ED-specific result. The theorem is correct, but it is the statement that a parity-symmetric model carries no parity-odd invariant, and one claim in the paper conflicts with Standard Model hypercharge.</t>
        </is>
      </c>
      <c r="E16" s="5" t="n">
        <v>94</v>
      </c>
      <c r="F16" s="6" t="inlineStr">
        <is>
          <t>Clean Substrate Vector_Parity Spontaneous</t>
        </is>
      </c>
      <c r="G16" s="6" t="inlineStr">
        <is>
          <t>P09, P11, —</t>
        </is>
      </c>
      <c r="H16" s="6" t="inlineStr">
        <is>
          <t>representation theory, for which forces are chiral in the Standard Model; the point-gap winding as the chirality invariant</t>
        </is>
      </c>
      <c r="I16" s="6" t="inlineStr">
        <is>
          <t>Transport level only. The step from substrate transport to a genuine Dirac sector is open. | The model form. Everything rests on ED's substrate having this commitment-map form.</t>
        </is>
      </c>
      <c r="J16" s="6" t="inlineStr">
        <is>
          <t>A parity-symmetric map of this form with nonzero winding is mathematically impossible, so the theorem itself cannot fail. The physical claim fails if ED's substrate is not parity-symmetric in this form, or if handedness is shown to be a fixed property of the law.</t>
        </is>
      </c>
      <c r="K16" s="6" t="inlineStr">
        <is>
          <t>Not a derivation of the weak force's handedness, or of the Standard Model's matter content.</t>
        </is>
      </c>
      <c r="L16" s="5" t="inlineStr">
        <is>
          <t>SUB_02_Parity_Is_Spontaneous.md</t>
        </is>
      </c>
      <c r="M16" s="5" t="inlineStr"/>
      <c r="N16" s="6" t="inlineStr">
        <is>
          <t>The theorem is correct. For a parity-symmetric one-way hopping map H(k) = e^{ik}A + e^{−ik}SAS⁻¹, det H(k) is even in k, so the point-gap winding is zero for every channel count. | Its content is modest. As the paper itself says, it is "parity symmetry forbids a parity-odd invariant" applied to this model. The physical content lies in whether ED's substrate has this form. | One claim misidentifies the abelian factor. The paper says "N = 1 is forced vector, matching electromagnetism". The Standard Model's fundamental abelian factor is hypercharge, and hypercharge is chiral. | Two claims are unsupported. Offering the pseudoreality of SU(2) as the origin of the weak force's chirality is speculation. The paper's distinctive prediction, that handedness is spontaneous and correlated with the matter/antimatter sign, has no stated way to measure it.</t>
        </is>
      </c>
    </row>
    <row r="17">
      <c r="A17" s="6" t="inlineStr">
        <is>
          <t>Four kinds of horizon as one object</t>
        </is>
      </c>
      <c r="B17" s="5" t="inlineStr">
        <is>
          <t>black holes</t>
        </is>
      </c>
      <c r="C17" s="6" t="inlineStr">
        <is>
          <t>The paper claims that black-hole horizons, acceleration horizons, the cosmological horizon and acoustic horizons in fluids are the same substrate object seen four ways: a surface where cross-chain content saturates and stops.</t>
        </is>
      </c>
      <c r="D17" s="6" t="inlineStr">
        <is>
          <t>Identification, not a derivation. Every number is standard physics, and the paper's own audit marks the identification as a position.</t>
        </is>
      </c>
      <c r="E17" s="5" t="n">
        <v>320</v>
      </c>
      <c r="F17" s="6" t="inlineStr">
        <is>
          <t>BH_Rindler_Cosmological_Acoustic Horizons as One Substrate Object</t>
        </is>
      </c>
      <c r="G17" s="6" t="inlineStr">
        <is>
          <t>P10, P11, P13, axiom 1, axiom 14, conditions 22 to 26</t>
        </is>
      </c>
      <c r="H17" s="6" t="inlineStr">
        <is>
          <t>the Unruh effect and the standard temperature formula for any Killing horizon; the per-type surface gravities</t>
        </is>
      </c>
      <c r="I17" s="6" t="inlineStr">
        <is>
          <t>ED's content is the identification alone. Everything numerical is standard. | Two of the four cases, cosmological and acoustic, arrive through further chains of inherited results.</t>
        </is>
      </c>
      <c r="J17" s="6" t="inlineStr">
        <is>
          <t>There is no distinctive test. A horizon without a thermal spectrum would break the standard formula, not ED specifically.</t>
        </is>
      </c>
      <c r="K17" s="6" t="inlineStr">
        <is>
          <t>Not a derivation of the Hawking–Unruh formula, and not a prediction of any of the four temperatures.</t>
        </is>
      </c>
      <c r="L17" s="5" t="inlineStr">
        <is>
          <t>BH_04_One_Horizon_Law.md</t>
        </is>
      </c>
      <c r="M17" s="5" t="inlineStr"/>
      <c r="N17" s="6" t="inlineStr">
        <is>
          <t>The shared temperature law is standard physics. The four temperatures and surface gravities come from Hawking, Unruh, Gibbons–Hawking and Unruh's acoustic analogue, and their shared law is textbook. | The shared substrate mechanism is claimed, not calculated. It is not worked out for any of the four cases. | The acoustic case has no testable content. A fluid's horizon lives far above the substrate scale, so calling it "the same substrate object" predicts nothing.</t>
        </is>
      </c>
    </row>
  </sheetData>
  <autoFilter ref="A1:N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2"/>
  <sheetViews>
    <sheetView workbookViewId="0">
      <pane ySplit="1" topLeftCell="A2" activePane="bottomLeft" state="frozen"/>
      <selection pane="bottomLeft" activeCell="A1" sqref="A1"/>
    </sheetView>
  </sheetViews>
  <sheetFormatPr baseColWidth="8" defaultRowHeight="15"/>
  <cols>
    <col width="34" customWidth="1" min="1" max="1"/>
    <col width="9" customWidth="1" min="2" max="2"/>
    <col width="10" customWidth="1" min="3" max="3"/>
    <col width="12" customWidth="1" min="4" max="4"/>
    <col width="44" customWidth="1" min="5" max="5"/>
    <col width="60" customWidth="1" min="6" max="6"/>
  </cols>
  <sheetData>
    <row r="1" ht="28" customHeight="1">
      <c r="A1" s="4" t="inlineStr">
        <is>
          <t>Result</t>
        </is>
      </c>
      <c r="B1" s="4" t="inlineStr">
        <is>
          <t>Ledger row</t>
        </is>
      </c>
      <c r="C1" s="4" t="inlineStr">
        <is>
          <t>Item key</t>
        </is>
      </c>
      <c r="D1" s="4" t="inlineStr">
        <is>
          <t>Kind</t>
        </is>
      </c>
      <c r="E1" s="4" t="inlineStr">
        <is>
          <t>Item</t>
        </is>
      </c>
      <c r="F1" s="4" t="inlineStr">
        <is>
          <t>How it enters</t>
        </is>
      </c>
    </row>
    <row r="2">
      <c r="A2" s="6" t="inlineStr">
        <is>
          <t>The horizon as a decoupling surface</t>
        </is>
      </c>
      <c r="B2" s="5" t="n">
        <v>28</v>
      </c>
      <c r="C2" s="5" t="inlineStr">
        <is>
          <t>P02</t>
        </is>
      </c>
      <c r="D2" s="5" t="inlineStr">
        <is>
          <t>Primitive</t>
        </is>
      </c>
      <c r="E2" s="6" t="inlineStr">
        <is>
          <t>Participation is the primitive relation. Chains participate,</t>
        </is>
      </c>
      <c r="F2" s="6" t="inlineStr">
        <is>
          <t>the cross-bandwidth carried across a surface</t>
        </is>
      </c>
    </row>
    <row r="3">
      <c r="A3" s="6" t="inlineStr">
        <is>
          <t>The horizon as a decoupling surface</t>
        </is>
      </c>
      <c r="B3" s="5" t="n">
        <v>28</v>
      </c>
      <c r="C3" s="5" t="inlineStr">
        <is>
          <t>P04</t>
        </is>
      </c>
      <c r="D3" s="5" t="inlineStr">
        <is>
          <t>Primitive</t>
        </is>
      </c>
      <c r="E3" s="6" t="inlineStr">
        <is>
          <t>Bandwidth: a non-negative, additive quantity.</t>
        </is>
      </c>
      <c r="F3" s="6" t="inlineStr">
        <is>
          <t>the cross-bandwidth carried across a surface</t>
        </is>
      </c>
    </row>
    <row r="4">
      <c r="A4" s="6" t="inlineStr">
        <is>
          <t>The horizon as a decoupling surface</t>
        </is>
      </c>
      <c r="B4" s="5" t="n">
        <v>28</v>
      </c>
      <c r="C4" s="5" t="inlineStr">
        <is>
          <t>P05</t>
        </is>
      </c>
      <c r="D4" s="5" t="inlineStr">
        <is>
          <t>Primitive</t>
        </is>
      </c>
      <c r="E4" s="6" t="inlineStr">
        <is>
          <t>Polarity is transported between neighbouring loci.</t>
        </is>
      </c>
      <c r="F4" s="6" t="inlineStr">
        <is>
          <t>the cross-bandwidth carried across a surface</t>
        </is>
      </c>
    </row>
    <row r="5">
      <c r="A5" s="6" t="inlineStr">
        <is>
          <t>The horizon as a decoupling surface</t>
        </is>
      </c>
      <c r="B5" s="5" t="n">
        <v>28</v>
      </c>
      <c r="C5" s="5" t="inlineStr">
        <is>
          <t>P07</t>
        </is>
      </c>
      <c r="D5" s="5" t="inlineStr">
        <is>
          <t>Primitive</t>
        </is>
      </c>
      <c r="E5" s="6" t="inlineStr">
        <is>
          <t>Channel structure is basic, not built from something else.</t>
        </is>
      </c>
      <c r="F5" s="6" t="inlineStr">
        <is>
          <t>the channels the content moves on</t>
        </is>
      </c>
    </row>
    <row r="6">
      <c r="A6" s="6" t="inlineStr">
        <is>
          <t>The horizon as a decoupling surface</t>
        </is>
      </c>
      <c r="B6" s="5" t="n">
        <v>28</v>
      </c>
      <c r="C6" s="5" t="inlineStr">
        <is>
          <t>P09</t>
        </is>
      </c>
      <c r="D6" s="5" t="inlineStr">
        <is>
          <t>Primitive</t>
        </is>
      </c>
      <c r="E6" s="6" t="inlineStr">
        <is>
          <t>Polarity takes values in U(1), an angle.</t>
        </is>
      </c>
      <c r="F6" s="6" t="inlineStr">
        <is>
          <t>the channels the content moves on</t>
        </is>
      </c>
    </row>
    <row r="7">
      <c r="A7" s="6" t="inlineStr">
        <is>
          <t>The horizon as a decoupling surface</t>
        </is>
      </c>
      <c r="B7" s="5" t="n">
        <v>28</v>
      </c>
      <c r="C7" s="5" t="inlineStr">
        <is>
          <t>P10</t>
        </is>
      </c>
      <c r="D7" s="5" t="inlineStr">
        <is>
          <t>Primitive</t>
        </is>
      </c>
      <c r="E7" s="6" t="inlineStr">
        <is>
          <t xml:space="preserve">Rule-types are primitive. This is what allows the V5 kernel </t>
        </is>
      </c>
      <c r="F7" s="6" t="inlineStr">
        <is>
          <t>the channels the content moves on</t>
        </is>
      </c>
    </row>
    <row r="8">
      <c r="A8" s="6" t="inlineStr">
        <is>
          <t>The horizon as a decoupling surface</t>
        </is>
      </c>
      <c r="B8" s="5" t="n">
        <v>28</v>
      </c>
      <c r="C8" s="5" t="inlineStr">
        <is>
          <t>P11</t>
        </is>
      </c>
      <c r="D8" s="5" t="inlineStr">
        <is>
          <t>Primitive</t>
        </is>
      </c>
      <c r="E8" s="6" t="inlineStr">
        <is>
          <t>Commitment is irreversible, with the environment randomizing</t>
        </is>
      </c>
      <c r="F8" s="6" t="inlineStr">
        <is>
          <t>one-way crossing; the gradient identified with surface gravity</t>
        </is>
      </c>
    </row>
    <row r="9">
      <c r="A9" s="6" t="inlineStr">
        <is>
          <t>The horizon as a decoupling surface</t>
        </is>
      </c>
      <c r="B9" s="5" t="n">
        <v>28</v>
      </c>
      <c r="C9" s="5" t="inlineStr">
        <is>
          <t>P12</t>
        </is>
      </c>
      <c r="D9" s="5" t="inlineStr">
        <is>
          <t>Primitive</t>
        </is>
      </c>
      <c r="E9" s="6" t="inlineStr">
        <is>
          <t>Each chain has a stability landscape, Σ = Coh − Str − Grad.</t>
        </is>
      </c>
      <c r="F9" s="6" t="inlineStr">
        <is>
          <t>one-way crossing; the gradient identified with surface gravity</t>
        </is>
      </c>
    </row>
    <row r="10">
      <c r="A10" s="6" t="inlineStr">
        <is>
          <t>The horizon as a decoupling surface</t>
        </is>
      </c>
      <c r="B10" s="5" t="n">
        <v>28</v>
      </c>
      <c r="C10" s="5" t="inlineStr">
        <is>
          <t>A14</t>
        </is>
      </c>
      <c r="D10" s="5" t="inlineStr">
        <is>
          <t>Axiom</t>
        </is>
      </c>
      <c r="E10" s="6" t="inlineStr">
        <is>
          <t>V5 exists</t>
        </is>
      </c>
      <c r="F10" s="6" t="inlineStr">
        <is>
          <t>the cross-chain kernel whose transport is said to die off</t>
        </is>
      </c>
    </row>
    <row r="11">
      <c r="A11" s="6" t="inlineStr">
        <is>
          <t>The horizon as a decoupling surface</t>
        </is>
      </c>
      <c r="B11" s="5" t="n">
        <v>28</v>
      </c>
      <c r="C11" s="5" t="inlineStr">
        <is>
          <t>A21</t>
        </is>
      </c>
      <c r="D11" s="5" t="inlineStr">
        <is>
          <t>Axiom</t>
        </is>
      </c>
      <c r="E11" s="6" t="inlineStr">
        <is>
          <t>The V1 kernel has this shape</t>
        </is>
      </c>
      <c r="F11" s="6" t="inlineStr">
        <is>
          <t>the single-chain response</t>
        </is>
      </c>
    </row>
    <row r="12">
      <c r="A12" s="6" t="inlineStr">
        <is>
          <t>The Hawking temperature</t>
        </is>
      </c>
      <c r="B12" s="5" t="n">
        <v>36</v>
      </c>
      <c r="C12" s="5" t="inlineStr">
        <is>
          <t>P02</t>
        </is>
      </c>
      <c r="D12" s="5" t="inlineStr">
        <is>
          <t>Primitive</t>
        </is>
      </c>
      <c r="E12" s="6" t="inlineStr">
        <is>
          <t>Participation is the primitive relation. Chains participate,</t>
        </is>
      </c>
      <c r="F12" s="6" t="inlineStr">
        <is>
          <t>the substrate structure at the surface</t>
        </is>
      </c>
    </row>
    <row r="13">
      <c r="A13" s="6" t="inlineStr">
        <is>
          <t>The Hawking temperature</t>
        </is>
      </c>
      <c r="B13" s="5" t="n">
        <v>36</v>
      </c>
      <c r="C13" s="5" t="inlineStr">
        <is>
          <t>P04</t>
        </is>
      </c>
      <c r="D13" s="5" t="inlineStr">
        <is>
          <t>Primitive</t>
        </is>
      </c>
      <c r="E13" s="6" t="inlineStr">
        <is>
          <t>Bandwidth: a non-negative, additive quantity.</t>
        </is>
      </c>
      <c r="F13" s="6" t="inlineStr">
        <is>
          <t>the substrate structure at the surface</t>
        </is>
      </c>
    </row>
    <row r="14">
      <c r="A14" s="6" t="inlineStr">
        <is>
          <t>The Hawking temperature</t>
        </is>
      </c>
      <c r="B14" s="5" t="n">
        <v>36</v>
      </c>
      <c r="C14" s="5" t="inlineStr">
        <is>
          <t>P05</t>
        </is>
      </c>
      <c r="D14" s="5" t="inlineStr">
        <is>
          <t>Primitive</t>
        </is>
      </c>
      <c r="E14" s="6" t="inlineStr">
        <is>
          <t>Polarity is transported between neighbouring loci.</t>
        </is>
      </c>
      <c r="F14" s="6" t="inlineStr">
        <is>
          <t>the substrate structure at the surface</t>
        </is>
      </c>
    </row>
    <row r="15">
      <c r="A15" s="6" t="inlineStr">
        <is>
          <t>The Hawking temperature</t>
        </is>
      </c>
      <c r="B15" s="5" t="n">
        <v>36</v>
      </c>
      <c r="C15" s="5" t="inlineStr">
        <is>
          <t>P07</t>
        </is>
      </c>
      <c r="D15" s="5" t="inlineStr">
        <is>
          <t>Primitive</t>
        </is>
      </c>
      <c r="E15" s="6" t="inlineStr">
        <is>
          <t>Channel structure is basic, not built from something else.</t>
        </is>
      </c>
      <c r="F15" s="6" t="inlineStr">
        <is>
          <t>the substrate structure at the surface</t>
        </is>
      </c>
    </row>
    <row r="16">
      <c r="A16" s="6" t="inlineStr">
        <is>
          <t>The Hawking temperature</t>
        </is>
      </c>
      <c r="B16" s="5" t="n">
        <v>36</v>
      </c>
      <c r="C16" s="5" t="inlineStr">
        <is>
          <t>P09</t>
        </is>
      </c>
      <c r="D16" s="5" t="inlineStr">
        <is>
          <t>Primitive</t>
        </is>
      </c>
      <c r="E16" s="6" t="inlineStr">
        <is>
          <t>Polarity takes values in U(1), an angle.</t>
        </is>
      </c>
      <c r="F16" s="6" t="inlineStr">
        <is>
          <t>the substrate structure at the surface</t>
        </is>
      </c>
    </row>
    <row r="17">
      <c r="A17" s="6" t="inlineStr">
        <is>
          <t>The Hawking temperature</t>
        </is>
      </c>
      <c r="B17" s="5" t="n">
        <v>36</v>
      </c>
      <c r="C17" s="5" t="inlineStr">
        <is>
          <t>P10</t>
        </is>
      </c>
      <c r="D17" s="5" t="inlineStr">
        <is>
          <t>Primitive</t>
        </is>
      </c>
      <c r="E17" s="6" t="inlineStr">
        <is>
          <t xml:space="preserve">Rule-types are primitive. This is what allows the V5 kernel </t>
        </is>
      </c>
      <c r="F17" s="6" t="inlineStr">
        <is>
          <t>the substrate structure at the surface</t>
        </is>
      </c>
    </row>
    <row r="18">
      <c r="A18" s="6" t="inlineStr">
        <is>
          <t>The Hawking temperature</t>
        </is>
      </c>
      <c r="B18" s="5" t="n">
        <v>36</v>
      </c>
      <c r="C18" s="5" t="inlineStr">
        <is>
          <t>P11</t>
        </is>
      </c>
      <c r="D18" s="5" t="inlineStr">
        <is>
          <t>Primitive</t>
        </is>
      </c>
      <c r="E18" s="6" t="inlineStr">
        <is>
          <t>Commitment is irreversible, with the environment randomizing</t>
        </is>
      </c>
      <c r="F18" s="6" t="inlineStr">
        <is>
          <t>the substrate structure at the surface</t>
        </is>
      </c>
    </row>
    <row r="19">
      <c r="A19" s="6" t="inlineStr">
        <is>
          <t>The Hawking temperature</t>
        </is>
      </c>
      <c r="B19" s="5" t="n">
        <v>36</v>
      </c>
      <c r="C19" s="5" t="inlineStr">
        <is>
          <t>P12</t>
        </is>
      </c>
      <c r="D19" s="5" t="inlineStr">
        <is>
          <t>Primitive</t>
        </is>
      </c>
      <c r="E19" s="6" t="inlineStr">
        <is>
          <t>Each chain has a stability landscape, Σ = Coh − Str − Grad.</t>
        </is>
      </c>
      <c r="F19" s="6" t="inlineStr">
        <is>
          <t>the substrate structure at the surface</t>
        </is>
      </c>
    </row>
    <row r="20">
      <c r="A20" s="6" t="inlineStr">
        <is>
          <t>The Hawking temperature</t>
        </is>
      </c>
      <c r="B20" s="5" t="n">
        <v>36</v>
      </c>
      <c r="C20" s="5" t="inlineStr">
        <is>
          <t>A14</t>
        </is>
      </c>
      <c r="D20" s="5" t="inlineStr">
        <is>
          <t>Axiom</t>
        </is>
      </c>
      <c r="E20" s="6" t="inlineStr">
        <is>
          <t>V5 exists</t>
        </is>
      </c>
      <c r="F20" s="6" t="inlineStr">
        <is>
          <t>the correlators said to carry the thermal structure</t>
        </is>
      </c>
    </row>
    <row r="21">
      <c r="A21" s="6" t="inlineStr">
        <is>
          <t>The Hawking temperature</t>
        </is>
      </c>
      <c r="B21" s="5" t="n">
        <v>36</v>
      </c>
      <c r="C21" s="5" t="inlineStr">
        <is>
          <t>A21</t>
        </is>
      </c>
      <c r="D21" s="5" t="inlineStr">
        <is>
          <t>Axiom</t>
        </is>
      </c>
      <c r="E21" s="6" t="inlineStr">
        <is>
          <t>The V1 kernel has this shape</t>
        </is>
      </c>
      <c r="F21" s="6" t="inlineStr">
        <is>
          <t>the retarded single-chain response</t>
        </is>
      </c>
    </row>
    <row r="22">
      <c r="A22" s="6" t="inlineStr">
        <is>
          <t>The black-hole entropy coefficient 1/4</t>
        </is>
      </c>
      <c r="B22" s="5" t="n">
        <v>41</v>
      </c>
      <c r="C22" s="5" t="inlineStr">
        <is>
          <t>—</t>
        </is>
      </c>
      <c r="D22" s="5" t="inlineStr">
        <is>
          <t>none directly</t>
        </is>
      </c>
      <c r="E22" s="6" t="inlineStr">
        <is>
          <t>runs on earlier ED results</t>
        </is>
      </c>
      <c r="F22" s="6" t="inlineStr"/>
    </row>
    <row r="23">
      <c r="A23" s="6" t="inlineStr">
        <is>
          <t>Primordial and present-day gravitational waves</t>
        </is>
      </c>
      <c r="B23" s="5" t="n">
        <v>44</v>
      </c>
      <c r="C23" s="5" t="inlineStr">
        <is>
          <t>P02</t>
        </is>
      </c>
      <c r="D23" s="5" t="inlineStr">
        <is>
          <t>Primitive</t>
        </is>
      </c>
      <c r="E23" s="6" t="inlineStr">
        <is>
          <t>Participation is the primitive relation. Chains participate,</t>
        </is>
      </c>
      <c r="F23" s="6" t="inlineStr">
        <is>
          <t>the fluctuating structure, and the symmetry behind conserved quantities</t>
        </is>
      </c>
    </row>
    <row r="24">
      <c r="A24" s="6" t="inlineStr">
        <is>
          <t>Primordial and present-day gravitational waves</t>
        </is>
      </c>
      <c r="B24" s="5" t="n">
        <v>44</v>
      </c>
      <c r="C24" s="5" t="inlineStr">
        <is>
          <t>P03</t>
        </is>
      </c>
      <c r="D24" s="5" t="inlineStr">
        <is>
          <t>Primitive</t>
        </is>
      </c>
      <c r="E24" s="6" t="inlineStr">
        <is>
          <t>Channels and loci are indexed, and space is homogeneous.</t>
        </is>
      </c>
      <c r="F24" s="6" t="inlineStr">
        <is>
          <t>the fluctuating structure, and the symmetry behind conserved quantities</t>
        </is>
      </c>
    </row>
    <row r="25">
      <c r="A25" s="6" t="inlineStr">
        <is>
          <t>Primordial and present-day gravitational waves</t>
        </is>
      </c>
      <c r="B25" s="5" t="n">
        <v>44</v>
      </c>
      <c r="C25" s="5" t="inlineStr">
        <is>
          <t>P09</t>
        </is>
      </c>
      <c r="D25" s="5" t="inlineStr">
        <is>
          <t>Primitive</t>
        </is>
      </c>
      <c r="E25" s="6" t="inlineStr">
        <is>
          <t>Polarity takes values in U(1), an angle.</t>
        </is>
      </c>
      <c r="F25" s="6" t="inlineStr">
        <is>
          <t>the landscape whose shape is said to fluctuate</t>
        </is>
      </c>
    </row>
    <row r="26">
      <c r="A26" s="6" t="inlineStr">
        <is>
          <t>Primordial and present-day gravitational waves</t>
        </is>
      </c>
      <c r="B26" s="5" t="n">
        <v>44</v>
      </c>
      <c r="C26" s="5" t="inlineStr">
        <is>
          <t>P10</t>
        </is>
      </c>
      <c r="D26" s="5" t="inlineStr">
        <is>
          <t>Primitive</t>
        </is>
      </c>
      <c r="E26" s="6" t="inlineStr">
        <is>
          <t xml:space="preserve">Rule-types are primitive. This is what allows the V5 kernel </t>
        </is>
      </c>
      <c r="F26" s="6" t="inlineStr">
        <is>
          <t>the landscape whose shape is said to fluctuate</t>
        </is>
      </c>
    </row>
    <row r="27">
      <c r="A27" s="6" t="inlineStr">
        <is>
          <t>Primordial and present-day gravitational waves</t>
        </is>
      </c>
      <c r="B27" s="5" t="n">
        <v>44</v>
      </c>
      <c r="C27" s="5" t="inlineStr">
        <is>
          <t>P11</t>
        </is>
      </c>
      <c r="D27" s="5" t="inlineStr">
        <is>
          <t>Primitive</t>
        </is>
      </c>
      <c r="E27" s="6" t="inlineStr">
        <is>
          <t>Commitment is irreversible, with the environment randomizing</t>
        </is>
      </c>
      <c r="F27" s="6" t="inlineStr">
        <is>
          <t>the landscape whose shape is said to fluctuate</t>
        </is>
      </c>
    </row>
    <row r="28">
      <c r="A28" s="6" t="inlineStr">
        <is>
          <t>Primordial and present-day gravitational waves</t>
        </is>
      </c>
      <c r="B28" s="5" t="n">
        <v>44</v>
      </c>
      <c r="C28" s="5" t="inlineStr">
        <is>
          <t>P12</t>
        </is>
      </c>
      <c r="D28" s="5" t="inlineStr">
        <is>
          <t>Primitive</t>
        </is>
      </c>
      <c r="E28" s="6" t="inlineStr">
        <is>
          <t>Each chain has a stability landscape, Σ = Coh − Str − Grad.</t>
        </is>
      </c>
      <c r="F28" s="6" t="inlineStr">
        <is>
          <t>the landscape whose shape is said to fluctuate</t>
        </is>
      </c>
    </row>
    <row r="29">
      <c r="A29" s="6" t="inlineStr">
        <is>
          <t>Primordial and present-day gravitational waves</t>
        </is>
      </c>
      <c r="B29" s="5" t="n">
        <v>44</v>
      </c>
      <c r="C29" s="5" t="inlineStr">
        <is>
          <t>P13</t>
        </is>
      </c>
      <c r="D29" s="5" t="inlineStr">
        <is>
          <t>Primitive</t>
        </is>
      </c>
      <c r="E29" s="6" t="inlineStr">
        <is>
          <t>Time is homogeneous, and events are discrete.</t>
        </is>
      </c>
      <c r="F29" s="6" t="inlineStr">
        <is>
          <t>the landscape whose shape is said to fluctuate</t>
        </is>
      </c>
    </row>
    <row r="30">
      <c r="A30" s="6" t="inlineStr">
        <is>
          <t>Primordial and present-day gravitational waves</t>
        </is>
      </c>
      <c r="B30" s="5" t="n">
        <v>44</v>
      </c>
      <c r="C30" s="5" t="inlineStr">
        <is>
          <t>A11</t>
        </is>
      </c>
      <c r="D30" s="5" t="inlineStr">
        <is>
          <t>Axiom</t>
        </is>
      </c>
      <c r="E30" s="6" t="inlineStr">
        <is>
          <t>P-RB-1</t>
        </is>
      </c>
      <c r="F30" s="6" t="inlineStr">
        <is>
          <t>keeps everything inside the substrate's speed limit</t>
        </is>
      </c>
    </row>
    <row r="31">
      <c r="A31" s="6" t="inlineStr">
        <is>
          <t>Geodesic motion</t>
        </is>
      </c>
      <c r="B31" s="5" t="n">
        <v>66</v>
      </c>
      <c r="C31" s="5" t="inlineStr">
        <is>
          <t>P04</t>
        </is>
      </c>
      <c r="D31" s="5" t="inlineStr">
        <is>
          <t>Primitive</t>
        </is>
      </c>
      <c r="E31" s="6" t="inlineStr">
        <is>
          <t>Bandwidth: a non-negative, additive quantity.</t>
        </is>
      </c>
      <c r="F31" s="6" t="inlineStr">
        <is>
          <t>offered as the reason the bandwidth current is an extensive, conserved flux</t>
        </is>
      </c>
    </row>
    <row r="32">
      <c r="A32" s="6" t="inlineStr">
        <is>
          <t>Geodesic motion</t>
        </is>
      </c>
      <c r="B32" s="5" t="n">
        <v>66</v>
      </c>
      <c r="C32" s="5" t="inlineStr">
        <is>
          <t>P05</t>
        </is>
      </c>
      <c r="D32" s="5" t="inlineStr">
        <is>
          <t>Primitive</t>
        </is>
      </c>
      <c r="E32" s="6" t="inlineStr">
        <is>
          <t>Polarity is transported between neighbouring loci.</t>
        </is>
      </c>
      <c r="F32" s="6" t="inlineStr">
        <is>
          <t>offered as fixing what kind of object the current is</t>
        </is>
      </c>
    </row>
    <row r="33">
      <c r="A33" s="6" t="inlineStr">
        <is>
          <t>ED's gravitational class</t>
        </is>
      </c>
      <c r="B33" s="5" t="n">
        <v>67</v>
      </c>
      <c r="C33" s="5" t="inlineStr">
        <is>
          <t>P11</t>
        </is>
      </c>
      <c r="D33" s="5" t="inlineStr">
        <is>
          <t>Primitive</t>
        </is>
      </c>
      <c r="E33" s="6" t="inlineStr">
        <is>
          <t>Commitment is irreversible, with the environment randomizing</t>
        </is>
      </c>
      <c r="F33" s="6" t="inlineStr">
        <is>
          <t>offered as putting the time direction in the dynamics</t>
        </is>
      </c>
    </row>
    <row r="34">
      <c r="A34" s="6" t="inlineStr">
        <is>
          <t>ED's gravitational class</t>
        </is>
      </c>
      <c r="B34" s="5" t="n">
        <v>67</v>
      </c>
      <c r="C34" s="5" t="inlineStr">
        <is>
          <t>P13</t>
        </is>
      </c>
      <c r="D34" s="5" t="inlineStr">
        <is>
          <t>Primitive</t>
        </is>
      </c>
      <c r="E34" s="6" t="inlineStr">
        <is>
          <t>Time is homogeneous, and events are discrete.</t>
        </is>
      </c>
      <c r="F34" s="6" t="inlineStr">
        <is>
          <t>offered as supplying the slicing</t>
        </is>
      </c>
    </row>
    <row r="35">
      <c r="A35" s="6" t="inlineStr">
        <is>
          <t>ED's gravitational class</t>
        </is>
      </c>
      <c r="B35" s="5" t="n">
        <v>67</v>
      </c>
      <c r="C35" s="5" t="inlineStr">
        <is>
          <t>P02</t>
        </is>
      </c>
      <c r="D35" s="5" t="inlineStr">
        <is>
          <t>Primitive</t>
        </is>
      </c>
      <c r="E35" s="6" t="inlineStr">
        <is>
          <t>Participation is the primitive relation. Chains participate,</t>
        </is>
      </c>
      <c r="F35" s="6" t="inlineStr">
        <is>
          <t>the shared metric band</t>
        </is>
      </c>
    </row>
    <row r="36">
      <c r="A36" s="6" t="inlineStr">
        <is>
          <t>Gravitational-wave speed</t>
        </is>
      </c>
      <c r="B36" s="5" t="n">
        <v>68</v>
      </c>
      <c r="C36" s="5" t="inlineStr">
        <is>
          <t>P05</t>
        </is>
      </c>
      <c r="D36" s="5" t="inlineStr">
        <is>
          <t>Primitive</t>
        </is>
      </c>
      <c r="E36" s="6" t="inlineStr">
        <is>
          <t>Polarity is transported between neighbouring loci.</t>
        </is>
      </c>
      <c r="F36" s="6" t="inlineStr">
        <is>
          <t>one transport mechanism, therefore one limiting speed</t>
        </is>
      </c>
    </row>
    <row r="37">
      <c r="A37" s="6" t="inlineStr">
        <is>
          <t>Gravitational-wave speed</t>
        </is>
      </c>
      <c r="B37" s="5" t="n">
        <v>68</v>
      </c>
      <c r="C37" s="5" t="inlineStr">
        <is>
          <t>A21</t>
        </is>
      </c>
      <c r="D37" s="5" t="inlineStr">
        <is>
          <t>Axiom</t>
        </is>
      </c>
      <c r="E37" s="6" t="inlineStr">
        <is>
          <t>The V1 kernel has this shape</t>
        </is>
      </c>
      <c r="F37" s="6" t="inlineStr">
        <is>
          <t>the finite width that sets the speed limit</t>
        </is>
      </c>
    </row>
    <row r="38">
      <c r="A38" s="6" t="inlineStr">
        <is>
          <t>The speed of the extra gravitational mode</t>
        </is>
      </c>
      <c r="B38" s="5" t="n">
        <v>70</v>
      </c>
      <c r="C38" s="5" t="inlineStr">
        <is>
          <t>P11</t>
        </is>
      </c>
      <c r="D38" s="5" t="inlineStr">
        <is>
          <t>Primitive</t>
        </is>
      </c>
      <c r="E38" s="6" t="inlineStr">
        <is>
          <t>Commitment is irreversible, with the environment randomizing</t>
        </is>
      </c>
      <c r="F38" s="6" t="inlineStr">
        <is>
          <t>offered as making the reserve sector one-way</t>
        </is>
      </c>
    </row>
    <row r="39">
      <c r="A39" s="6" t="inlineStr">
        <is>
          <t>The speed of the extra gravitational mode</t>
        </is>
      </c>
      <c r="B39" s="5" t="n">
        <v>70</v>
      </c>
      <c r="C39" s="5" t="inlineStr">
        <is>
          <t>P04</t>
        </is>
      </c>
      <c r="D39" s="5" t="inlineStr">
        <is>
          <t>Primitive</t>
        </is>
      </c>
      <c r="E39" s="6" t="inlineStr">
        <is>
          <t>Bandwidth: a non-negative, additive quantity.</t>
        </is>
      </c>
      <c r="F39" s="6" t="inlineStr">
        <is>
          <t>the reserve band itself</t>
        </is>
      </c>
    </row>
    <row r="40">
      <c r="A40" s="6" t="inlineStr">
        <is>
          <t>The speed of the extra gravitational mode</t>
        </is>
      </c>
      <c r="B40" s="5" t="n">
        <v>70</v>
      </c>
      <c r="C40" s="5" t="inlineStr">
        <is>
          <t>P02</t>
        </is>
      </c>
      <c r="D40" s="5" t="inlineStr">
        <is>
          <t>Primitive</t>
        </is>
      </c>
      <c r="E40" s="6" t="inlineStr">
        <is>
          <t>Participation is the primitive relation. Chains participate,</t>
        </is>
      </c>
      <c r="F40" s="6" t="inlineStr">
        <is>
          <t>the shared band and the slicing</t>
        </is>
      </c>
    </row>
    <row r="41">
      <c r="A41" s="6" t="inlineStr">
        <is>
          <t>The speed of the extra gravitational mode</t>
        </is>
      </c>
      <c r="B41" s="5" t="n">
        <v>70</v>
      </c>
      <c r="C41" s="5" t="inlineStr">
        <is>
          <t>P13</t>
        </is>
      </c>
      <c r="D41" s="5" t="inlineStr">
        <is>
          <t>Primitive</t>
        </is>
      </c>
      <c r="E41" s="6" t="inlineStr">
        <is>
          <t>Time is homogeneous, and events are discrete.</t>
        </is>
      </c>
      <c r="F41" s="6" t="inlineStr">
        <is>
          <t>the shared band and the slicing</t>
        </is>
      </c>
    </row>
    <row r="42">
      <c r="A42" s="6" t="inlineStr">
        <is>
          <t>The preferred-frame parameter α₂</t>
        </is>
      </c>
      <c r="B42" s="5" t="n">
        <v>71</v>
      </c>
      <c r="C42" s="5" t="inlineStr">
        <is>
          <t>—</t>
        </is>
      </c>
      <c r="D42" s="5" t="inlineStr">
        <is>
          <t>none directly</t>
        </is>
      </c>
      <c r="E42" s="6" t="inlineStr">
        <is>
          <t>runs on earlier ED results</t>
        </is>
      </c>
      <c r="F42" s="6" t="inlineStr"/>
    </row>
    <row r="43">
      <c r="A43" s="6" t="inlineStr">
        <is>
          <t>Gauge groups and channel multiplicity</t>
        </is>
      </c>
      <c r="B43" s="5" t="n">
        <v>84</v>
      </c>
      <c r="C43" s="5" t="inlineStr">
        <is>
          <t>P04</t>
        </is>
      </c>
      <c r="D43" s="5" t="inlineStr">
        <is>
          <t>Primitive</t>
        </is>
      </c>
      <c r="E43" s="6" t="inlineStr">
        <is>
          <t>Bandwidth: a non-negative, additive quantity.</t>
        </is>
      </c>
      <c r="F43" s="6" t="inlineStr">
        <is>
          <t>forces transport to preserve the norm</t>
        </is>
      </c>
    </row>
    <row r="44">
      <c r="A44" s="6" t="inlineStr">
        <is>
          <t>Gauge groups and channel multiplicity</t>
        </is>
      </c>
      <c r="B44" s="5" t="n">
        <v>84</v>
      </c>
      <c r="C44" s="5" t="inlineStr">
        <is>
          <t>P07</t>
        </is>
      </c>
      <c r="D44" s="5" t="inlineStr">
        <is>
          <t>Primitive</t>
        </is>
      </c>
      <c r="E44" s="6" t="inlineStr">
        <is>
          <t>Channel structure is basic, not built from something else.</t>
        </is>
      </c>
      <c r="F44" s="6" t="inlineStr">
        <is>
          <t>supplies the multiplicity N</t>
        </is>
      </c>
    </row>
    <row r="45">
      <c r="A45" s="6" t="inlineStr">
        <is>
          <t>Gauge groups and channel multiplicity</t>
        </is>
      </c>
      <c r="B45" s="5" t="n">
        <v>84</v>
      </c>
      <c r="C45" s="5" t="inlineStr">
        <is>
          <t>P09</t>
        </is>
      </c>
      <c r="D45" s="5" t="inlineStr">
        <is>
          <t>Primitive</t>
        </is>
      </c>
      <c r="E45" s="6" t="inlineStr">
        <is>
          <t>Polarity takes values in U(1), an angle.</t>
        </is>
      </c>
      <c r="F45" s="6" t="inlineStr">
        <is>
          <t>the phase the amplitude carries</t>
        </is>
      </c>
    </row>
    <row r="46">
      <c r="A46" s="6" t="inlineStr">
        <is>
          <t>Gauge groups and channel multiplicity</t>
        </is>
      </c>
      <c r="B46" s="5" t="n">
        <v>84</v>
      </c>
      <c r="C46" s="5" t="inlineStr">
        <is>
          <t>A14</t>
        </is>
      </c>
      <c r="D46" s="5" t="inlineStr">
        <is>
          <t>Axiom</t>
        </is>
      </c>
      <c r="E46" s="6" t="inlineStr">
        <is>
          <t>V5 exists</t>
        </is>
      </c>
      <c r="F46" s="6" t="inlineStr">
        <is>
          <t>cross-channel mixing, the non-abelian part</t>
        </is>
      </c>
    </row>
    <row r="47">
      <c r="A47" s="6" t="inlineStr">
        <is>
          <t>Gauge groups and channel multiplicity</t>
        </is>
      </c>
      <c r="B47" s="5" t="n">
        <v>84</v>
      </c>
      <c r="C47" s="5" t="inlineStr">
        <is>
          <t>A21</t>
        </is>
      </c>
      <c r="D47" s="5" t="inlineStr">
        <is>
          <t>Axiom</t>
        </is>
      </c>
      <c r="E47" s="6" t="inlineStr">
        <is>
          <t>The V1 kernel has this shape</t>
        </is>
      </c>
      <c r="F47" s="6" t="inlineStr">
        <is>
          <t>single-channel transport, the abelian part</t>
        </is>
      </c>
    </row>
    <row r="48">
      <c r="A48" s="6" t="inlineStr">
        <is>
          <t>Gauge groups and channel multiplicity</t>
        </is>
      </c>
      <c r="B48" s="5" t="n">
        <v>84</v>
      </c>
      <c r="C48" s="5" t="inlineStr">
        <is>
          <t>D2</t>
        </is>
      </c>
      <c r="D48" s="5" t="inlineStr">
        <is>
          <t>Definition</t>
        </is>
      </c>
      <c r="E48" s="6" t="inlineStr">
        <is>
          <t>P-Motif-Algebra</t>
        </is>
      </c>
      <c r="F48" s="6" t="inlineStr">
        <is>
          <t>lets the channel content be a complex vector</t>
        </is>
      </c>
    </row>
    <row r="49">
      <c r="A49" s="6" t="inlineStr">
        <is>
          <t>The 1/2 in kinetic energy</t>
        </is>
      </c>
      <c r="B49" s="5" t="n">
        <v>89</v>
      </c>
      <c r="C49" s="5" t="inlineStr">
        <is>
          <t>P03</t>
        </is>
      </c>
      <c r="D49" s="5" t="inlineStr">
        <is>
          <t>Primitive</t>
        </is>
      </c>
      <c r="E49" s="6" t="inlineStr">
        <is>
          <t>Channels and loci are indexed, and space is homogeneous.</t>
        </is>
      </c>
      <c r="F49" s="6" t="inlineStr">
        <is>
          <t>offered as making position content boost-invariant</t>
        </is>
      </c>
    </row>
    <row r="50">
      <c r="A50" s="6" t="inlineStr">
        <is>
          <t>The 1/2 in kinetic energy</t>
        </is>
      </c>
      <c r="B50" s="5" t="n">
        <v>89</v>
      </c>
      <c r="C50" s="5" t="inlineStr">
        <is>
          <t>P05</t>
        </is>
      </c>
      <c r="D50" s="5" t="inlineStr">
        <is>
          <t>Primitive</t>
        </is>
      </c>
      <c r="E50" s="6" t="inlineStr">
        <is>
          <t>Polarity is transported between neighbouring loci.</t>
        </is>
      </c>
      <c r="F50" s="6" t="inlineStr">
        <is>
          <t>the motion-rate content, which transforms</t>
        </is>
      </c>
    </row>
    <row r="51">
      <c r="A51" s="6" t="inlineStr">
        <is>
          <t>The 1/2 in kinetic energy</t>
        </is>
      </c>
      <c r="B51" s="5" t="n">
        <v>89</v>
      </c>
      <c r="C51" s="5" t="inlineStr">
        <is>
          <t>P04</t>
        </is>
      </c>
      <c r="D51" s="5" t="inlineStr">
        <is>
          <t>Primitive</t>
        </is>
      </c>
      <c r="E51" s="6" t="inlineStr">
        <is>
          <t>Bandwidth: a non-negative, additive quantity.</t>
        </is>
      </c>
      <c r="F51" s="6" t="inlineStr">
        <is>
          <t>only the non-negative size of that content</t>
        </is>
      </c>
    </row>
    <row r="52">
      <c r="A52" s="6" t="inlineStr">
        <is>
          <t>The 1/2 in kinetic energy</t>
        </is>
      </c>
      <c r="B52" s="5" t="n">
        <v>89</v>
      </c>
      <c r="C52" s="5" t="inlineStr">
        <is>
          <t>P10</t>
        </is>
      </c>
      <c r="D52" s="5" t="inlineStr">
        <is>
          <t>Primitive</t>
        </is>
      </c>
      <c r="E52" s="6" t="inlineStr">
        <is>
          <t xml:space="preserve">Rule-types are primitive. This is what allows the V5 kernel </t>
        </is>
      </c>
      <c r="F52" s="6" t="inlineStr">
        <is>
          <t>the carriers</t>
        </is>
      </c>
    </row>
    <row r="53">
      <c r="A53" s="6" t="inlineStr">
        <is>
          <t>The 1/2 in kinetic energy</t>
        </is>
      </c>
      <c r="B53" s="5" t="n">
        <v>89</v>
      </c>
      <c r="C53" s="5" t="inlineStr">
        <is>
          <t>C22</t>
        </is>
      </c>
      <c r="D53" s="5" t="inlineStr">
        <is>
          <t>Condition</t>
        </is>
      </c>
      <c r="E53" s="6" t="inlineStr">
        <is>
          <t>Space's shape changes gently</t>
        </is>
      </c>
      <c r="F53" s="6" t="inlineStr">
        <is>
          <t>it runs on the emergent metric</t>
        </is>
      </c>
    </row>
    <row r="54">
      <c r="A54" s="6" t="inlineStr">
        <is>
          <t>The 1/2 in kinetic energy</t>
        </is>
      </c>
      <c r="B54" s="5" t="n">
        <v>89</v>
      </c>
      <c r="C54" s="5" t="inlineStr">
        <is>
          <t>C23</t>
        </is>
      </c>
      <c r="D54" s="5" t="inlineStr">
        <is>
          <t>Condition</t>
        </is>
      </c>
      <c r="E54" s="6" t="inlineStr">
        <is>
          <t>Time stays different from space</t>
        </is>
      </c>
      <c r="F54" s="6" t="inlineStr">
        <is>
          <t>it runs on the emergent metric</t>
        </is>
      </c>
    </row>
    <row r="55">
      <c r="A55" s="6" t="inlineStr">
        <is>
          <t>The 1/2 in kinetic energy</t>
        </is>
      </c>
      <c r="B55" s="5" t="n">
        <v>89</v>
      </c>
      <c r="C55" s="5" t="inlineStr">
        <is>
          <t>C24</t>
        </is>
      </c>
      <c r="D55" s="5" t="inlineStr">
        <is>
          <t>Condition</t>
        </is>
      </c>
      <c r="E55" s="6" t="inlineStr">
        <is>
          <t>No negative-energy waves</t>
        </is>
      </c>
      <c r="F55" s="6" t="inlineStr">
        <is>
          <t>it runs on the emergent metric</t>
        </is>
      </c>
    </row>
    <row r="56">
      <c r="A56" s="6" t="inlineStr">
        <is>
          <t>The 1/2 in kinetic energy</t>
        </is>
      </c>
      <c r="B56" s="5" t="n">
        <v>89</v>
      </c>
      <c r="C56" s="5" t="inlineStr">
        <is>
          <t>C25</t>
        </is>
      </c>
      <c r="D56" s="5" t="inlineStr">
        <is>
          <t>Condition</t>
        </is>
      </c>
      <c r="E56" s="6" t="inlineStr">
        <is>
          <t>Zoom out the right amount</t>
        </is>
      </c>
      <c r="F56" s="6" t="inlineStr">
        <is>
          <t>it runs on the emergent metric</t>
        </is>
      </c>
    </row>
    <row r="57">
      <c r="A57" s="6" t="inlineStr">
        <is>
          <t>The 1/2 in kinetic energy</t>
        </is>
      </c>
      <c r="B57" s="5" t="n">
        <v>89</v>
      </c>
      <c r="C57" s="5" t="inlineStr">
        <is>
          <t>C26</t>
        </is>
      </c>
      <c r="D57" s="5" t="inlineStr">
        <is>
          <t>Condition</t>
        </is>
      </c>
      <c r="E57" s="6" t="inlineStr">
        <is>
          <t>Horizons behave</t>
        </is>
      </c>
      <c r="F57" s="6" t="inlineStr">
        <is>
          <t>it runs on the emergent metric</t>
        </is>
      </c>
    </row>
    <row r="58">
      <c r="A58" s="6" t="inlineStr">
        <is>
          <t>The spinor frame is unique</t>
        </is>
      </c>
      <c r="B58" s="5" t="n">
        <v>90</v>
      </c>
      <c r="C58" s="5" t="inlineStr">
        <is>
          <t>P06</t>
        </is>
      </c>
      <c r="D58" s="5" t="inlineStr">
        <is>
          <t>Primitive</t>
        </is>
      </c>
      <c r="E58" s="6" t="inlineStr">
        <is>
          <t>Space has 3 dimensions, plus time (D = 3+1).</t>
        </is>
      </c>
      <c r="F58" s="6" t="inlineStr">
        <is>
          <t>fixes which Clifford algebra applies</t>
        </is>
      </c>
    </row>
    <row r="59">
      <c r="A59" s="6" t="inlineStr">
        <is>
          <t>The spinor frame is unique</t>
        </is>
      </c>
      <c r="B59" s="5" t="n">
        <v>90</v>
      </c>
      <c r="C59" s="5" t="inlineStr">
        <is>
          <t>P03</t>
        </is>
      </c>
      <c r="D59" s="5" t="inlineStr">
        <is>
          <t>Primitive</t>
        </is>
      </c>
      <c r="E59" s="6" t="inlineStr">
        <is>
          <t>Channels and loci are indexed, and space is homogeneous.</t>
        </is>
      </c>
      <c r="F59" s="6" t="inlineStr">
        <is>
          <t>the indexing the gamma matrices act on</t>
        </is>
      </c>
    </row>
    <row r="60">
      <c r="A60" s="6" t="inlineStr">
        <is>
          <t>The spinor frame is unique</t>
        </is>
      </c>
      <c r="B60" s="5" t="n">
        <v>90</v>
      </c>
      <c r="C60" s="5" t="inlineStr">
        <is>
          <t>P05</t>
        </is>
      </c>
      <c r="D60" s="5" t="inlineStr">
        <is>
          <t>Primitive</t>
        </is>
      </c>
      <c r="E60" s="6" t="inlineStr">
        <is>
          <t>Polarity is transported between neighbouring loci.</t>
        </is>
      </c>
      <c r="F60" s="6" t="inlineStr">
        <is>
          <t>the transport the Clifford structure is defined over</t>
        </is>
      </c>
    </row>
    <row r="61">
      <c r="A61" s="6" t="inlineStr">
        <is>
          <t>The spinor frame is unique</t>
        </is>
      </c>
      <c r="B61" s="5" t="n">
        <v>90</v>
      </c>
      <c r="C61" s="5" t="inlineStr">
        <is>
          <t>P09</t>
        </is>
      </c>
      <c r="D61" s="5" t="inlineStr">
        <is>
          <t>Primitive</t>
        </is>
      </c>
      <c r="E61" s="6" t="inlineStr">
        <is>
          <t>Polarity takes values in U(1), an angle.</t>
        </is>
      </c>
      <c r="F61" s="6" t="inlineStr">
        <is>
          <t>the angular structure</t>
        </is>
      </c>
    </row>
    <row r="62">
      <c r="A62" s="6" t="inlineStr">
        <is>
          <t>The spinor frame is unique</t>
        </is>
      </c>
      <c r="B62" s="5" t="n">
        <v>90</v>
      </c>
      <c r="C62" s="5" t="inlineStr">
        <is>
          <t>P10</t>
        </is>
      </c>
      <c r="D62" s="5" t="inlineStr">
        <is>
          <t>Primitive</t>
        </is>
      </c>
      <c r="E62" s="6" t="inlineStr">
        <is>
          <t xml:space="preserve">Rule-types are primitive. This is what allows the V5 kernel </t>
        </is>
      </c>
      <c r="F62" s="6" t="inlineStr">
        <is>
          <t>the spinor carriers</t>
        </is>
      </c>
    </row>
    <row r="63">
      <c r="A63" s="6" t="inlineStr">
        <is>
          <t>The spinor frame is unique</t>
        </is>
      </c>
      <c r="B63" s="5" t="n">
        <v>90</v>
      </c>
      <c r="C63" s="5" t="inlineStr">
        <is>
          <t>C23</t>
        </is>
      </c>
      <c r="D63" s="5" t="inlineStr">
        <is>
          <t>Condition</t>
        </is>
      </c>
      <c r="E63" s="6" t="inlineStr">
        <is>
          <t>Time stays different from space</t>
        </is>
      </c>
      <c r="F63" s="6" t="inlineStr">
        <is>
          <t>the signature comes through the emergent metric</t>
        </is>
      </c>
    </row>
    <row r="64">
      <c r="A64" s="6" t="inlineStr">
        <is>
          <t>No anyons in three dimensions</t>
        </is>
      </c>
      <c r="B64" s="5" t="n">
        <v>91</v>
      </c>
      <c r="C64" s="5" t="inlineStr">
        <is>
          <t>P06</t>
        </is>
      </c>
      <c r="D64" s="5" t="inlineStr">
        <is>
          <t>Primitive</t>
        </is>
      </c>
      <c r="E64" s="6" t="inlineStr">
        <is>
          <t>Space has 3 dimensions, plus time (D = 3+1).</t>
        </is>
      </c>
      <c r="F64" s="6" t="inlineStr">
        <is>
          <t>the one input the theorem needs</t>
        </is>
      </c>
    </row>
    <row r="65">
      <c r="A65" s="6" t="inlineStr">
        <is>
          <t>No anyons in three dimensions</t>
        </is>
      </c>
      <c r="B65" s="5" t="n">
        <v>91</v>
      </c>
      <c r="C65" s="5" t="inlineStr">
        <is>
          <t>P10</t>
        </is>
      </c>
      <c r="D65" s="5" t="inlineStr">
        <is>
          <t>Primitive</t>
        </is>
      </c>
      <c r="E65" s="6" t="inlineStr">
        <is>
          <t xml:space="preserve">Rule-types are primitive. This is what allows the V5 kernel </t>
        </is>
      </c>
      <c r="F65" s="6" t="inlineStr">
        <is>
          <t>the identical carriers being exchanged</t>
        </is>
      </c>
    </row>
    <row r="66">
      <c r="A66" s="6" t="inlineStr">
        <is>
          <t>No anyons in three dimensions</t>
        </is>
      </c>
      <c r="B66" s="5" t="n">
        <v>91</v>
      </c>
      <c r="C66" s="5" t="inlineStr">
        <is>
          <t>P03</t>
        </is>
      </c>
      <c r="D66" s="5" t="inlineStr">
        <is>
          <t>Primitive</t>
        </is>
      </c>
      <c r="E66" s="6" t="inlineStr">
        <is>
          <t>Channels and loci are indexed, and space is homogeneous.</t>
        </is>
      </c>
      <c r="F66" s="6" t="inlineStr">
        <is>
          <t>builds the configuration space</t>
        </is>
      </c>
    </row>
    <row r="67">
      <c r="A67" s="6" t="inlineStr">
        <is>
          <t>Charge as a winding number</t>
        </is>
      </c>
      <c r="B67" s="5" t="n">
        <v>93</v>
      </c>
      <c r="C67" s="5" t="inlineStr">
        <is>
          <t>P09</t>
        </is>
      </c>
      <c r="D67" s="5" t="inlineStr">
        <is>
          <t>Primitive</t>
        </is>
      </c>
      <c r="E67" s="6" t="inlineStr">
        <is>
          <t>Polarity takes values in U(1), an angle.</t>
        </is>
      </c>
      <c r="F67" s="6" t="inlineStr">
        <is>
          <t>the angle that does the winding</t>
        </is>
      </c>
    </row>
    <row r="68">
      <c r="A68" s="6" t="inlineStr">
        <is>
          <t>Charge as a winding number</t>
        </is>
      </c>
      <c r="B68" s="5" t="n">
        <v>93</v>
      </c>
      <c r="C68" s="5" t="inlineStr">
        <is>
          <t>P05</t>
        </is>
      </c>
      <c r="D68" s="5" t="inlineStr">
        <is>
          <t>Primitive</t>
        </is>
      </c>
      <c r="E68" s="6" t="inlineStr">
        <is>
          <t>Polarity is transported between neighbouring loci.</t>
        </is>
      </c>
      <c r="F68" s="6" t="inlineStr">
        <is>
          <t>the discrete connection the winding is measured along</t>
        </is>
      </c>
    </row>
    <row r="69">
      <c r="A69" s="6" t="inlineStr">
        <is>
          <t>Charge as a winding number</t>
        </is>
      </c>
      <c r="B69" s="5" t="n">
        <v>93</v>
      </c>
      <c r="C69" s="5" t="inlineStr">
        <is>
          <t>P11</t>
        </is>
      </c>
      <c r="D69" s="5" t="inlineStr">
        <is>
          <t>Primitive</t>
        </is>
      </c>
      <c r="E69" s="6" t="inlineStr">
        <is>
          <t>Commitment is irreversible, with the environment randomizing</t>
        </is>
      </c>
      <c r="F69" s="6" t="inlineStr">
        <is>
          <t>read as the protection; changing the winding would mean uncommitting a polarity</t>
        </is>
      </c>
    </row>
    <row r="70">
      <c r="A70" s="6" t="inlineStr">
        <is>
          <t>Charge as a winding number</t>
        </is>
      </c>
      <c r="B70" s="5" t="n">
        <v>93</v>
      </c>
      <c r="C70" s="5" t="inlineStr">
        <is>
          <t>P04</t>
        </is>
      </c>
      <c r="D70" s="5" t="inlineStr">
        <is>
          <t>Primitive</t>
        </is>
      </c>
      <c r="E70" s="6" t="inlineStr">
        <is>
          <t>Bandwidth: a non-negative, additive quantity.</t>
        </is>
      </c>
      <c r="F70" s="6" t="inlineStr">
        <is>
          <t>the weak channel through which the winding couples to anything</t>
        </is>
      </c>
    </row>
    <row r="71">
      <c r="A71" s="6" t="inlineStr">
        <is>
          <t>If the world is left-handed, it chose to be</t>
        </is>
      </c>
      <c r="B71" s="5" t="n">
        <v>94</v>
      </c>
      <c r="C71" s="5" t="inlineStr">
        <is>
          <t>P09</t>
        </is>
      </c>
      <c r="D71" s="5" t="inlineStr">
        <is>
          <t>Primitive</t>
        </is>
      </c>
      <c r="E71" s="6" t="inlineStr">
        <is>
          <t>Polarity takes values in U(1), an angle.</t>
        </is>
      </c>
      <c r="F71" s="6" t="inlineStr">
        <is>
          <t>the phase structure the winding is computed from</t>
        </is>
      </c>
    </row>
    <row r="72">
      <c r="A72" s="6" t="inlineStr">
        <is>
          <t>If the world is left-handed, it chose to be</t>
        </is>
      </c>
      <c r="B72" s="5" t="n">
        <v>94</v>
      </c>
      <c r="C72" s="5" t="inlineStr">
        <is>
          <t>P11</t>
        </is>
      </c>
      <c r="D72" s="5" t="inlineStr">
        <is>
          <t>Primitive</t>
        </is>
      </c>
      <c r="E72" s="6" t="inlineStr">
        <is>
          <t>Commitment is irreversible, with the environment randomizing</t>
        </is>
      </c>
      <c r="F72" s="6" t="inlineStr">
        <is>
          <t>the one-way hop</t>
        </is>
      </c>
    </row>
    <row r="73">
      <c r="A73" s="6" t="inlineStr">
        <is>
          <t>Four kinds of horizon as one object</t>
        </is>
      </c>
      <c r="B73" s="5" t="n">
        <v>320</v>
      </c>
      <c r="C73" s="5" t="inlineStr">
        <is>
          <t>P10</t>
        </is>
      </c>
      <c r="D73" s="5" t="inlineStr">
        <is>
          <t>Primitive</t>
        </is>
      </c>
      <c r="E73" s="6" t="inlineStr">
        <is>
          <t xml:space="preserve">Rule-types are primitive. This is what allows the V5 kernel </t>
        </is>
      </c>
      <c r="F73" s="6" t="inlineStr">
        <is>
          <t>the kernel, the one-sidedness, the rates</t>
        </is>
      </c>
    </row>
    <row r="74">
      <c r="A74" s="6" t="inlineStr">
        <is>
          <t>Four kinds of horizon as one object</t>
        </is>
      </c>
      <c r="B74" s="5" t="n">
        <v>320</v>
      </c>
      <c r="C74" s="5" t="inlineStr">
        <is>
          <t>P11</t>
        </is>
      </c>
      <c r="D74" s="5" t="inlineStr">
        <is>
          <t>Primitive</t>
        </is>
      </c>
      <c r="E74" s="6" t="inlineStr">
        <is>
          <t>Commitment is irreversible, with the environment randomizing</t>
        </is>
      </c>
      <c r="F74" s="6" t="inlineStr">
        <is>
          <t>the kernel, the one-sidedness, the rates</t>
        </is>
      </c>
    </row>
    <row r="75">
      <c r="A75" s="6" t="inlineStr">
        <is>
          <t>Four kinds of horizon as one object</t>
        </is>
      </c>
      <c r="B75" s="5" t="n">
        <v>320</v>
      </c>
      <c r="C75" s="5" t="inlineStr">
        <is>
          <t>P13</t>
        </is>
      </c>
      <c r="D75" s="5" t="inlineStr">
        <is>
          <t>Primitive</t>
        </is>
      </c>
      <c r="E75" s="6" t="inlineStr">
        <is>
          <t>Time is homogeneous, and events are discrete.</t>
        </is>
      </c>
      <c r="F75" s="6" t="inlineStr">
        <is>
          <t>the kernel, the one-sidedness, the rates</t>
        </is>
      </c>
    </row>
    <row r="76">
      <c r="A76" s="6" t="inlineStr">
        <is>
          <t>Four kinds of horizon as one object</t>
        </is>
      </c>
      <c r="B76" s="5" t="n">
        <v>320</v>
      </c>
      <c r="C76" s="5" t="inlineStr">
        <is>
          <t>A1</t>
        </is>
      </c>
      <c r="D76" s="5" t="inlineStr">
        <is>
          <t>Axiom</t>
        </is>
      </c>
      <c r="E76" s="6" t="inlineStr">
        <is>
          <t>SCBU</t>
        </is>
      </c>
      <c r="F76" s="6" t="inlineStr">
        <is>
          <t>the cosmic boundary at R_H = c/H₀, one of the four cases</t>
        </is>
      </c>
    </row>
    <row r="77">
      <c r="A77" s="6" t="inlineStr">
        <is>
          <t>Four kinds of horizon as one object</t>
        </is>
      </c>
      <c r="B77" s="5" t="n">
        <v>320</v>
      </c>
      <c r="C77" s="5" t="inlineStr">
        <is>
          <t>A14</t>
        </is>
      </c>
      <c r="D77" s="5" t="inlineStr">
        <is>
          <t>Axiom</t>
        </is>
      </c>
      <c r="E77" s="6" t="inlineStr">
        <is>
          <t>V5 exists</t>
        </is>
      </c>
      <c r="F77" s="6" t="inlineStr">
        <is>
          <t>the kernel said to saturate</t>
        </is>
      </c>
    </row>
    <row r="78">
      <c r="A78" s="6" t="inlineStr">
        <is>
          <t>Four kinds of horizon as one object</t>
        </is>
      </c>
      <c r="B78" s="5" t="n">
        <v>320</v>
      </c>
      <c r="C78" s="5" t="inlineStr">
        <is>
          <t>C22</t>
        </is>
      </c>
      <c r="D78" s="5" t="inlineStr">
        <is>
          <t>Condition</t>
        </is>
      </c>
      <c r="E78" s="6" t="inlineStr">
        <is>
          <t>Space's shape changes gently</t>
        </is>
      </c>
      <c r="F78" s="6" t="inlineStr">
        <is>
          <t>the acoustic case runs on the emergent acoustic metric</t>
        </is>
      </c>
    </row>
    <row r="79">
      <c r="A79" s="6" t="inlineStr">
        <is>
          <t>Four kinds of horizon as one object</t>
        </is>
      </c>
      <c r="B79" s="5" t="n">
        <v>320</v>
      </c>
      <c r="C79" s="5" t="inlineStr">
        <is>
          <t>C23</t>
        </is>
      </c>
      <c r="D79" s="5" t="inlineStr">
        <is>
          <t>Condition</t>
        </is>
      </c>
      <c r="E79" s="6" t="inlineStr">
        <is>
          <t>Time stays different from space</t>
        </is>
      </c>
      <c r="F79" s="6" t="inlineStr">
        <is>
          <t>the acoustic case runs on the emergent acoustic metric</t>
        </is>
      </c>
    </row>
    <row r="80">
      <c r="A80" s="6" t="inlineStr">
        <is>
          <t>Four kinds of horizon as one object</t>
        </is>
      </c>
      <c r="B80" s="5" t="n">
        <v>320</v>
      </c>
      <c r="C80" s="5" t="inlineStr">
        <is>
          <t>C24</t>
        </is>
      </c>
      <c r="D80" s="5" t="inlineStr">
        <is>
          <t>Condition</t>
        </is>
      </c>
      <c r="E80" s="6" t="inlineStr">
        <is>
          <t>No negative-energy waves</t>
        </is>
      </c>
      <c r="F80" s="6" t="inlineStr">
        <is>
          <t>the acoustic case runs on the emergent acoustic metric</t>
        </is>
      </c>
    </row>
    <row r="81">
      <c r="A81" s="6" t="inlineStr">
        <is>
          <t>Four kinds of horizon as one object</t>
        </is>
      </c>
      <c r="B81" s="5" t="n">
        <v>320</v>
      </c>
      <c r="C81" s="5" t="inlineStr">
        <is>
          <t>C25</t>
        </is>
      </c>
      <c r="D81" s="5" t="inlineStr">
        <is>
          <t>Condition</t>
        </is>
      </c>
      <c r="E81" s="6" t="inlineStr">
        <is>
          <t>Zoom out the right amount</t>
        </is>
      </c>
      <c r="F81" s="6" t="inlineStr">
        <is>
          <t>the acoustic case runs on the emergent acoustic metric</t>
        </is>
      </c>
    </row>
    <row r="82">
      <c r="A82" s="6" t="inlineStr">
        <is>
          <t>Four kinds of horizon as one object</t>
        </is>
      </c>
      <c r="B82" s="5" t="n">
        <v>320</v>
      </c>
      <c r="C82" s="5" t="inlineStr">
        <is>
          <t>C26</t>
        </is>
      </c>
      <c r="D82" s="5" t="inlineStr">
        <is>
          <t>Condition</t>
        </is>
      </c>
      <c r="E82" s="6" t="inlineStr">
        <is>
          <t>Horizons behave</t>
        </is>
      </c>
      <c r="F82" s="6" t="inlineStr">
        <is>
          <t>the acoustic case runs on the emergent acoustic metric</t>
        </is>
      </c>
    </row>
  </sheetData>
  <autoFilter ref="A1:F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62" customWidth="1" min="4" max="4"/>
  </cols>
  <sheetData>
    <row r="1" ht="28" customHeight="1">
      <c r="A1" s="4" t="inlineStr">
        <is>
          <t>Result</t>
        </is>
      </c>
      <c r="B1" s="4" t="inlineStr">
        <is>
          <t>Depends on</t>
        </is>
      </c>
      <c r="C1" s="4" t="inlineStr">
        <is>
          <t>What it supplies</t>
        </is>
      </c>
      <c r="D1" s="4" t="inlineStr">
        <is>
          <t>Where that stands</t>
        </is>
      </c>
    </row>
    <row r="2">
      <c r="A2" s="6" t="inlineStr">
        <is>
          <t>The Hawking temperature</t>
        </is>
      </c>
      <c r="B2" s="6" t="inlineStr">
        <is>
          <t>the horizon mechanism (039)</t>
        </is>
      </c>
      <c r="C2" s="6" t="inlineStr">
        <is>
          <t>the surface itself, and κ</t>
        </is>
      </c>
      <c r="D2" s="6" t="inlineStr">
        <is>
          <t>an identification; κ and location borrowed</t>
        </is>
      </c>
    </row>
    <row r="3">
      <c r="A3" s="6" t="inlineStr">
        <is>
          <t>The black-hole entropy coefficient 1/4</t>
        </is>
      </c>
      <c r="B3" s="6" t="inlineStr">
        <is>
          <t>GR-III's vacuum profile</t>
        </is>
      </c>
      <c r="C3" s="6" t="inlineStr">
        <is>
          <t>the horizon's shape, b(r) = 1 − r_s/r, and from its slope the surface gravity κ = 1/(2r_s)</t>
        </is>
      </c>
      <c r="D3" s="6" t="inlineStr">
        <is>
          <t>the linear rule clipped at b = 0; passes through GR-I's lapse, which rests on the band-accounting premise; the areal-coordinate reading is not derived</t>
        </is>
      </c>
    </row>
    <row r="4">
      <c r="A4" s="6" t="inlineStr">
        <is>
          <t>The black-hole entropy coefficient 1/4</t>
        </is>
      </c>
      <c r="B4" s="6" t="inlineStr">
        <is>
          <t>GR-I</t>
        </is>
      </c>
      <c r="C4" s="6" t="inlineStr">
        <is>
          <t>the relation g₀₀g_rr = −1</t>
        </is>
      </c>
      <c r="D4" s="6" t="inlineStr">
        <is>
          <t>holds in areal coordinates only, which GR-I does not establish (see its review note)</t>
        </is>
      </c>
    </row>
    <row r="5">
      <c r="A5" s="6" t="inlineStr">
        <is>
          <t>Geodesic motion</t>
        </is>
      </c>
      <c r="B5" s="6" t="inlineStr">
        <is>
          <t>GR-I's emergent metric</t>
        </is>
      </c>
      <c r="C5" s="6" t="inlineStr">
        <is>
          <t>the geometry the motion happens in, including the lapse</t>
        </is>
      </c>
      <c r="D5" s="6" t="inlineStr">
        <is>
          <t>first order only; rests on the band-accounting premise</t>
        </is>
      </c>
    </row>
    <row r="6">
      <c r="A6" s="6" t="inlineStr">
        <is>
          <t>ED's gravitational class</t>
        </is>
      </c>
      <c r="B6" s="6" t="inlineStr">
        <is>
          <t>GR-I's emergent metric</t>
        </is>
      </c>
      <c r="C6" s="6" t="inlineStr">
        <is>
          <t>the geometry being counted</t>
        </is>
      </c>
      <c r="D6" s="6" t="inlineStr">
        <is>
          <t>first order only; rests on the band-accounting premise</t>
        </is>
      </c>
    </row>
    <row r="7">
      <c r="A7" s="6" t="inlineStr">
        <is>
          <t>Gravitational-wave speed</t>
        </is>
      </c>
      <c r="B7" s="6" t="inlineStr">
        <is>
          <t>GR-I's emergent metric</t>
        </is>
      </c>
      <c r="C7" s="6" t="inlineStr">
        <is>
          <t>the geometry the waves move in</t>
        </is>
      </c>
      <c r="D7" s="6" t="inlineStr">
        <is>
          <t>first order only; rests on the band-accounting premise</t>
        </is>
      </c>
    </row>
    <row r="8">
      <c r="A8" s="6" t="inlineStr">
        <is>
          <t>The speed of the extra gravitational mode</t>
        </is>
      </c>
      <c r="B8" s="6" t="inlineStr">
        <is>
          <t>ED's gravitational class (GR-II)</t>
        </is>
      </c>
      <c r="C8" s="6" t="inlineStr">
        <is>
          <t>the existence of the scalar mode</t>
        </is>
      </c>
      <c r="D8" s="6" t="inlineStr">
        <is>
          <t>assumed, not derived</t>
        </is>
      </c>
    </row>
    <row r="9">
      <c r="A9" s="6" t="inlineStr">
        <is>
          <t>The speed of the extra gravitational mode</t>
        </is>
      </c>
      <c r="B9" s="6" t="inlineStr">
        <is>
          <t>GR-I's emergent metric</t>
        </is>
      </c>
      <c r="C9" s="6" t="inlineStr">
        <is>
          <t>the geometry</t>
        </is>
      </c>
      <c r="D9" s="6" t="inlineStr">
        <is>
          <t>first order only; rests on the band-accounting premise</t>
        </is>
      </c>
    </row>
    <row r="10">
      <c r="A10" s="6" t="inlineStr">
        <is>
          <t>The preferred-frame parameter α₂</t>
        </is>
      </c>
      <c r="B10" s="6" t="inlineStr">
        <is>
          <t>gravitational-wave speed</t>
        </is>
      </c>
      <c r="C10" s="6" t="inlineStr">
        <is>
          <t>c_T = c (β = 0)</t>
        </is>
      </c>
      <c r="D10" s="6" t="inlineStr">
        <is>
          <t>assumed, not derived; sits on GR-I's metric and the band-accounting premise</t>
        </is>
      </c>
    </row>
    <row r="11">
      <c r="A11" s="6" t="inlineStr">
        <is>
          <t>The preferred-frame parameter α₂</t>
        </is>
      </c>
      <c r="B11" s="6" t="inlineStr">
        <is>
          <t>the khronon speed c_s = c</t>
        </is>
      </c>
      <c r="C11" s="6" t="inlineStr">
        <is>
          <t>the tuning α = λ/(1+2λ)</t>
        </is>
      </c>
      <c r="D11" s="6" t="inlineStr">
        <is>
          <t>not established; conflicts with the standard formula as argued in GR-III</t>
        </is>
      </c>
    </row>
    <row r="12">
      <c r="A12" s="6" t="inlineStr">
        <is>
          <t>Four kinds of horizon as one object</t>
        </is>
      </c>
      <c r="B12" s="6" t="inlineStr">
        <is>
          <t>the horizon mechanism (039)</t>
        </is>
      </c>
      <c r="C12" s="6" t="inlineStr">
        <is>
          <t>the black-hole case</t>
        </is>
      </c>
      <c r="D12" s="6" t="inlineStr">
        <is>
          <t>an identification; location borrowed</t>
        </is>
      </c>
    </row>
    <row r="13">
      <c r="A13" s="6" t="inlineStr">
        <is>
          <t>Four kinds of horizon as one object</t>
        </is>
      </c>
      <c r="B13" s="6" t="inlineStr">
        <is>
          <t>the Hawking temperature (047)</t>
        </is>
      </c>
      <c r="C13" s="6" t="inlineStr">
        <is>
          <t>the temperature law at one horizon</t>
        </is>
      </c>
      <c r="D13" s="6" t="inlineStr">
        <is>
          <t>an identification; standard formula</t>
        </is>
      </c>
    </row>
  </sheetData>
  <autoFilter ref="A1:D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58" customWidth="1" min="1" max="1"/>
    <col width="14" customWidth="1" min="2" max="2"/>
    <col width="70" customWidth="1" min="3" max="3"/>
    <col width="8" customWidth="1" min="4" max="4"/>
  </cols>
  <sheetData>
    <row r="1" ht="28" customHeight="1">
      <c r="A1" s="4" t="inlineStr">
        <is>
          <t>Paper</t>
        </is>
      </c>
      <c r="B1" s="4" t="inlineStr">
        <is>
          <t>Role</t>
        </is>
      </c>
      <c r="C1" s="4" t="inlineStr">
        <is>
          <t>Results it carries</t>
        </is>
      </c>
      <c r="D1" s="4" t="inlineStr">
        <is>
          <t>Count</t>
        </is>
      </c>
    </row>
    <row r="2">
      <c r="A2" s="6" t="inlineStr">
        <is>
          <t>Adjacency-Bandwidth Asymmetry from Spatial Homogeneity</t>
        </is>
      </c>
      <c r="B2" s="5" t="inlineStr">
        <is>
          <t>result paper</t>
        </is>
      </c>
      <c r="C2" s="6" t="inlineStr">
        <is>
          <t>The 1/2 in kinetic energy</t>
        </is>
      </c>
      <c r="D2" s="5" t="n">
        <v>1</v>
      </c>
    </row>
    <row r="3">
      <c r="A3" s="6" t="inlineStr">
        <is>
          <t>Anyon Prohibition in 3_1D</t>
        </is>
      </c>
      <c r="B3" s="5" t="inlineStr">
        <is>
          <t>result paper</t>
        </is>
      </c>
      <c r="C3" s="6" t="inlineStr">
        <is>
          <t>No anyons in three dimensions</t>
        </is>
      </c>
      <c r="D3" s="5" t="n">
        <v>1</v>
      </c>
    </row>
    <row r="4">
      <c r="A4" s="6" t="inlineStr">
        <is>
          <t>BH_Rindler_Cosmological_Acoustic Horizons as One Substrate Object</t>
        </is>
      </c>
      <c r="B4" s="5" t="inlineStr">
        <is>
          <t>result paper</t>
        </is>
      </c>
      <c r="C4" s="6" t="inlineStr">
        <is>
          <t>Four kinds of horizon as one object</t>
        </is>
      </c>
      <c r="D4" s="5" t="n">
        <v>1</v>
      </c>
    </row>
    <row r="5">
      <c r="A5" s="6" t="inlineStr">
        <is>
          <t>Charge As Topology_Winding_Integral Gauss Law</t>
        </is>
      </c>
      <c r="B5" s="5" t="inlineStr">
        <is>
          <t>result paper</t>
        </is>
      </c>
      <c r="C5" s="6" t="inlineStr">
        <is>
          <t>Charge as a winding number</t>
        </is>
      </c>
      <c r="D5" s="5" t="n">
        <v>1</v>
      </c>
    </row>
    <row r="6">
      <c r="A6" s="6" t="inlineStr">
        <is>
          <t>Clean Substrate Vector_Parity Spontaneous</t>
        </is>
      </c>
      <c r="B6" s="5" t="inlineStr">
        <is>
          <t>result paper</t>
        </is>
      </c>
      <c r="C6" s="6" t="inlineStr">
        <is>
          <t>If the world is left-handed, it chose to be</t>
        </is>
      </c>
      <c r="D6" s="5" t="n">
        <v>1</v>
      </c>
    </row>
    <row r="7">
      <c r="A7" s="6" t="inlineStr">
        <is>
          <t>Frame Uniqueness_Clifford 3_1</t>
        </is>
      </c>
      <c r="B7" s="5" t="inlineStr">
        <is>
          <t>result paper</t>
        </is>
      </c>
      <c r="C7" s="6" t="inlineStr">
        <is>
          <t>The spinor frame is unique</t>
        </is>
      </c>
      <c r="D7" s="5" t="n">
        <v>1</v>
      </c>
    </row>
    <row r="8">
      <c r="A8" s="6" t="inlineStr">
        <is>
          <t>GR-III_Dynamical Rule</t>
        </is>
      </c>
      <c r="B8" s="5" t="inlineStr">
        <is>
          <t>result paper</t>
        </is>
      </c>
      <c r="C8" s="6" t="inlineStr">
        <is>
          <t>The speed of the extra gravitational mode</t>
        </is>
      </c>
      <c r="D8" s="5" t="n">
        <v>1</v>
      </c>
    </row>
    <row r="9">
      <c r="A9" s="6" t="inlineStr">
        <is>
          <t>GR-II_ED Gravity is Khronometric Class</t>
        </is>
      </c>
      <c r="B9" s="5" t="inlineStr">
        <is>
          <t>result paper</t>
        </is>
      </c>
      <c r="C9" s="6" t="inlineStr">
        <is>
          <t>Geodesic motion; ED's gravitational class; Gravitational-wave speed</t>
        </is>
      </c>
      <c r="D9" s="5" t="n">
        <v>3</v>
      </c>
    </row>
    <row r="10">
      <c r="A10" s="6" t="inlineStr">
        <is>
          <t>GR-IV_Preferred Frame Safety_Quantum Coherence</t>
        </is>
      </c>
      <c r="B10" s="5" t="inlineStr">
        <is>
          <t>result paper</t>
        </is>
      </c>
      <c r="C10" s="6" t="inlineStr">
        <is>
          <t>The preferred-frame parameter α₂</t>
        </is>
      </c>
      <c r="D10" s="5" t="n">
        <v>1</v>
      </c>
    </row>
    <row r="11">
      <c r="A11" s="6" t="inlineStr">
        <is>
          <t>Hawking Spectrum</t>
        </is>
      </c>
      <c r="B11" s="5" t="inlineStr">
        <is>
          <t>result paper</t>
        </is>
      </c>
      <c r="C11" s="6" t="inlineStr">
        <is>
          <t>The Hawking temperature</t>
        </is>
      </c>
      <c r="D11" s="5" t="n">
        <v>1</v>
      </c>
    </row>
    <row r="12">
      <c r="A12" s="6" t="inlineStr">
        <is>
          <t>Horizon as Decoupling Surface_Trans Planckian Resolution_Planck Mass Remnant</t>
        </is>
      </c>
      <c r="B12" s="5" t="inlineStr">
        <is>
          <t>result paper</t>
        </is>
      </c>
      <c r="C12" s="6" t="inlineStr">
        <is>
          <t>The horizon as a decoupling surface</t>
        </is>
      </c>
      <c r="D12" s="5" t="n">
        <v>1</v>
      </c>
    </row>
    <row r="13">
      <c r="A13" s="6" t="inlineStr">
        <is>
          <t>Inflationary Spectrum</t>
        </is>
      </c>
      <c r="B13" s="5" t="inlineStr">
        <is>
          <t>result paper</t>
        </is>
      </c>
      <c r="C13" s="6" t="inlineStr">
        <is>
          <t>Primordial and present-day gravitational waves</t>
        </is>
      </c>
      <c r="D13" s="5" t="n">
        <v>1</v>
      </c>
    </row>
    <row r="14">
      <c r="A14" s="6" t="inlineStr">
        <is>
          <t>MatterSector_Gauge_Spin_Chirality_3D</t>
        </is>
      </c>
      <c r="B14" s="5" t="inlineStr">
        <is>
          <t>result paper</t>
        </is>
      </c>
      <c r="C14" s="6" t="inlineStr">
        <is>
          <t>Gauge groups and channel multiplicity</t>
        </is>
      </c>
      <c r="D14" s="5" t="n">
        <v>1</v>
      </c>
    </row>
    <row r="15">
      <c r="A15" s="6" t="inlineStr">
        <is>
          <t>Thermal 2Pi_Entropy Coefficient</t>
        </is>
      </c>
      <c r="B15" s="5" t="inlineStr">
        <is>
          <t>result paper</t>
        </is>
      </c>
      <c r="C15" s="6" t="inlineStr">
        <is>
          <t>The black-hole entropy coefficient 1/4</t>
        </is>
      </c>
      <c r="D15" s="5" t="n">
        <v>1</v>
      </c>
    </row>
    <row r="16">
      <c r="A16" s="6" t="inlineStr">
        <is>
          <t>GR-I_Weak Field Einstein Metric</t>
        </is>
      </c>
      <c r="B16" s="5" t="inlineStr">
        <is>
          <t>upstream</t>
        </is>
      </c>
      <c r="C16" s="6" t="inlineStr">
        <is>
          <t>carries no result on this list; holds up the ones that do</t>
        </is>
      </c>
      <c r="D16" s="5" t="n">
        <v>0</v>
      </c>
    </row>
    <row r="17">
      <c r="A17" s="6" t="inlineStr">
        <is>
          <t>The 13 Primitives</t>
        </is>
      </c>
      <c r="B17" s="5" t="inlineStr">
        <is>
          <t>upstream</t>
        </is>
      </c>
      <c r="C17" s="6" t="inlineStr">
        <is>
          <t>carries no result on this list; holds up the ones that do</t>
        </is>
      </c>
      <c r="D17" s="5" t="n">
        <v>0</v>
      </c>
    </row>
    <row r="18">
      <c r="A18" s="6" t="inlineStr">
        <is>
          <t>V1 Kernel_Finite Width Retarded</t>
        </is>
      </c>
      <c r="B18" s="5" t="inlineStr">
        <is>
          <t>upstream</t>
        </is>
      </c>
      <c r="C18" s="6" t="inlineStr">
        <is>
          <t>carries no result on this list; holds up the ones that do</t>
        </is>
      </c>
      <c r="D18" s="5" t="n">
        <v>0</v>
      </c>
    </row>
    <row r="19">
      <c r="A19" s="6" t="inlineStr">
        <is>
          <t>V5 Kernel_Cross Chain Correlation</t>
        </is>
      </c>
      <c r="B19" s="5" t="inlineStr">
        <is>
          <t>upstream</t>
        </is>
      </c>
      <c r="C19" s="6" t="inlineStr">
        <is>
          <t>carries no result on this list; holds up the ones that do</t>
        </is>
      </c>
      <c r="D19" s="5" t="n">
        <v>0</v>
      </c>
    </row>
  </sheetData>
  <autoFilter ref="A1:D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0" customWidth="1" min="1" max="1"/>
    <col width="12" customWidth="1" min="2" max="2"/>
    <col width="70" customWidth="1" min="4" max="4"/>
  </cols>
  <sheetData>
    <row r="1">
      <c r="A1" s="7" t="inlineStr">
        <is>
          <t>Counts</t>
        </is>
      </c>
    </row>
    <row r="3">
      <c r="A3" s="8" t="inlineStr">
        <is>
          <t>Foundation</t>
        </is>
      </c>
      <c r="D3" s="9" t="inlineStr">
        <is>
          <t>Live counts, recalculated from the Foundation, Results, Uses Map and Dependencies tabs. Edit those and these follow.</t>
        </is>
      </c>
    </row>
    <row r="4">
      <c r="A4" s="10" t="inlineStr">
        <is>
          <t>Primitives</t>
        </is>
      </c>
      <c r="B4" s="10">
        <f>COUNTIF(Foundation!$A:$A,"Primitive")</f>
        <v/>
      </c>
    </row>
    <row r="5">
      <c r="A5" s="10" t="inlineStr">
        <is>
          <t>Constants</t>
        </is>
      </c>
      <c r="B5" s="10">
        <f>COUNTIF(Foundation!$A:$A,"Constant")</f>
        <v/>
      </c>
      <c r="D5" s="9" t="inlineStr">
        <is>
          <t>Column B holds formulas with no stored result. Excel fills them in the moment the file opens.</t>
        </is>
      </c>
    </row>
    <row r="6">
      <c r="A6" s="10" t="inlineStr">
        <is>
          <t>Axioms</t>
        </is>
      </c>
      <c r="B6" s="10">
        <f>COUNTIF(Foundation!$A:$A,"Axiom")</f>
        <v/>
      </c>
    </row>
    <row r="7">
      <c r="A7" s="10" t="inlineStr">
        <is>
          <t>Working conditions</t>
        </is>
      </c>
      <c r="B7" s="10">
        <f>COUNTIF(Foundation!$A:$A,"Condition")</f>
        <v/>
      </c>
    </row>
    <row r="8">
      <c r="A8" s="10" t="inlineStr">
        <is>
          <t>Arguments</t>
        </is>
      </c>
      <c r="B8" s="10">
        <f>COUNTIF(Foundation!$A:$A,"Argument")</f>
        <v/>
      </c>
    </row>
    <row r="9">
      <c r="A9" s="10" t="inlineStr">
        <is>
          <t>Counted total</t>
        </is>
      </c>
      <c r="B9" s="10">
        <f>B4+B5+B6+B7+B8</f>
        <v/>
      </c>
    </row>
    <row r="10">
      <c r="A10" s="10" t="inlineStr">
        <is>
          <t>Definitions (not counted)</t>
        </is>
      </c>
      <c r="B10" s="10">
        <f>COUNTIF(Foundation!$A:$A,"Definition")</f>
        <v/>
      </c>
    </row>
    <row r="11">
      <c r="A11" s="10" t="inlineStr"/>
    </row>
    <row r="12">
      <c r="A12" s="8" t="inlineStr">
        <is>
          <t>Results</t>
        </is>
      </c>
    </row>
    <row r="13">
      <c r="A13" s="10" t="inlineStr">
        <is>
          <t>Results listed</t>
        </is>
      </c>
      <c r="B13" s="10">
        <f>COUNTA(Results!$A$2:$A$100)</f>
        <v/>
      </c>
    </row>
    <row r="14">
      <c r="A14" s="10" t="inlineStr">
        <is>
          <t>On the gravity chain</t>
        </is>
      </c>
      <c r="B14" s="10">
        <f>COUNTIF(Results!$M:$M,"yes")</f>
        <v/>
      </c>
    </row>
    <row r="15">
      <c r="A15" s="10" t="inlineStr">
        <is>
          <t>Using V5 (axiom 14)</t>
        </is>
      </c>
      <c r="B15" s="10">
        <f>COUNTIF('Uses Map'!$C:$C,"A14")</f>
        <v/>
      </c>
    </row>
    <row r="16">
      <c r="A16" s="10" t="inlineStr">
        <is>
          <t>Using V1 (axiom 21)</t>
        </is>
      </c>
      <c r="B16" s="10">
        <f>COUNTIF('Uses Map'!$C:$C,"A21")</f>
        <v/>
      </c>
    </row>
    <row r="17">
      <c r="A17" s="10" t="inlineStr">
        <is>
          <t>Using a working condition</t>
        </is>
      </c>
      <c r="B17" s="10">
        <f>COUNTIF('Uses Map'!$D:$D,"Condition")</f>
        <v/>
      </c>
    </row>
    <row r="18">
      <c r="A18" s="10" t="inlineStr">
        <is>
          <t>Sectors of physics</t>
        </is>
      </c>
      <c r="B18" s="10">
        <f>SUMPRODUCT((Results!$B$2:$B$17&lt;&gt;"")/COUNTIF(Results!$B$2:$B$17,Results!$B$2:$B$17&amp;""))</f>
        <v/>
      </c>
    </row>
    <row r="19">
      <c r="A19" s="10" t="inlineStr"/>
    </row>
    <row r="20">
      <c r="A20" s="8" t="inlineStr">
        <is>
          <t>Review verdicts (2026-09-12)</t>
        </is>
      </c>
    </row>
    <row r="21">
      <c r="A21" s="10" t="inlineStr">
        <is>
          <t>Textbook result, restated</t>
        </is>
      </c>
      <c r="B21" s="10">
        <f>COUNTIF(Results!$D:$D,"Textbook result*")</f>
        <v/>
      </c>
    </row>
    <row r="22">
      <c r="A22" s="10" t="inlineStr">
        <is>
          <t>Modest ED-specific result</t>
        </is>
      </c>
      <c r="B22" s="10">
        <f>COUNTIF(Results!$D:$D,"Modest*")</f>
        <v/>
      </c>
    </row>
    <row r="23">
      <c r="A23" s="10" t="inlineStr">
        <is>
          <t>Identification, not a derivation</t>
        </is>
      </c>
      <c r="B23" s="10">
        <f>COUNTIF(Results!$D:$D,"Identification*")</f>
        <v/>
      </c>
    </row>
    <row r="24">
      <c r="A24" s="10" t="inlineStr">
        <is>
          <t>Not established</t>
        </is>
      </c>
      <c r="B24" s="10">
        <f>COUNTIF(Results!$D:$D,"Not established*")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100" customWidth="1" min="3" max="3"/>
  </cols>
  <sheetData>
    <row r="1" ht="28" customHeight="1">
      <c r="A1" s="4" t="inlineStr">
        <is>
          <t>Ledger tier</t>
        </is>
      </c>
      <c r="B1" s="4" t="inlineStr">
        <is>
          <t>Count</t>
        </is>
      </c>
      <c r="C1" s="4" t="inlineStr">
        <is>
          <t>Why it is not on this list</t>
        </is>
      </c>
    </row>
    <row r="2">
      <c r="A2" s="5" t="inlineStr">
        <is>
          <t>Grounded</t>
        </is>
      </c>
      <c r="B2" s="5" t="n">
        <v>132</v>
      </c>
      <c r="C2" s="6" t="inlineStr">
        <is>
          <t>Holds given a further local assumption that is not on the foundation page. Outside this list.</t>
        </is>
      </c>
    </row>
    <row r="3">
      <c r="A3" s="5" t="inlineStr">
        <is>
          <t>Postulated</t>
        </is>
      </c>
      <c r="B3" s="5" t="n">
        <v>59</v>
      </c>
      <c r="C3" s="6" t="inlineStr">
        <is>
          <t>A declared assumption belonging to one paper.</t>
        </is>
      </c>
    </row>
    <row r="4">
      <c r="A4" s="5" t="inlineStr">
        <is>
          <t>Open</t>
        </is>
      </c>
      <c r="B4" s="5" t="n">
        <v>51</v>
      </c>
      <c r="C4" s="6" t="inlineStr">
        <is>
          <t>Named as unresolved.</t>
        </is>
      </c>
    </row>
    <row r="5">
      <c r="A5" s="5" t="inlineStr">
        <is>
          <t>Selected/Inherited</t>
        </is>
      </c>
      <c r="B5" s="5" t="n">
        <v>40</v>
      </c>
      <c r="C5" s="6" t="inlineStr">
        <is>
          <t>Taken from published physics.</t>
        </is>
      </c>
    </row>
    <row r="6">
      <c r="A6" s="5" t="inlineStr">
        <is>
          <t>Synthesis</t>
        </is>
      </c>
      <c r="B6" s="5" t="n">
        <v>31</v>
      </c>
      <c r="C6" s="6" t="inlineStr">
        <is>
          <t>Ties existing results together.</t>
        </is>
      </c>
    </row>
    <row r="7">
      <c r="A7" s="5" t="inlineStr">
        <is>
          <t>Prediction</t>
        </is>
      </c>
      <c r="B7" s="5" t="n">
        <v>24</v>
      </c>
      <c r="C7" s="6" t="inlineStr">
        <is>
          <t>A falsifiable bet, not yet tested.</t>
        </is>
      </c>
    </row>
    <row r="8">
      <c r="A8" s="5" t="inlineStr">
        <is>
          <t>Asserted</t>
        </is>
      </c>
      <c r="B8" s="5" t="n">
        <v>22</v>
      </c>
      <c r="C8" s="6" t="inlineStr">
        <is>
          <t>Stated without a supporting argument in the paper.</t>
        </is>
      </c>
    </row>
    <row r="9">
      <c r="A9" s="5" t="inlineStr">
        <is>
          <t>Measured</t>
        </is>
      </c>
      <c r="B9" s="5" t="n">
        <v>14</v>
      </c>
      <c r="C9" s="6" t="inlineStr">
        <is>
          <t>Measured in the simulator, including row 92 (zero signalling), retiered from Derived on 2026-09-11.</t>
        </is>
      </c>
    </row>
    <row r="10">
      <c r="A10" s="5" t="inlineStr">
        <is>
          <t>Primitive</t>
        </is>
      </c>
      <c r="B10" s="5" t="n">
        <v>13</v>
      </c>
      <c r="C10" s="6" t="inlineStr">
        <is>
          <t>The primitives themselves; they are on the Foundation tab.</t>
        </is>
      </c>
    </row>
    <row r="11">
      <c r="A11" s="5" t="inlineStr">
        <is>
          <t>Derived</t>
        </is>
      </c>
      <c r="B11" s="5" t="n">
        <v>9</v>
      </c>
      <c r="C11" s="6" t="inlineStr">
        <is>
          <t>Nine in the ledger, eight of them on this list. Row 42 (the c-power in G) is excluded as unit arithmetic. Review of 2026-09-12: none of the eight holds as a derivation of new content; see the Results tab.</t>
        </is>
      </c>
    </row>
    <row r="12">
      <c r="A12" s="5" t="inlineStr">
        <is>
          <t>Constant</t>
        </is>
      </c>
      <c r="B12" s="5" t="n">
        <v>9</v>
      </c>
      <c r="C12" s="6" t="inlineStr">
        <is>
          <t>The constants; they are on the Foundation tab.</t>
        </is>
      </c>
    </row>
    <row r="13">
      <c r="A13" s="5" t="inlineStr">
        <is>
          <t>D-via-I / Form-forced</t>
        </is>
      </c>
      <c r="B13" s="5" t="n">
        <v>8</v>
      </c>
      <c r="C13" s="6" t="inlineStr">
        <is>
          <t>All eight are on this list. Review of 2026-09-12: these are mostly known results restated; see the Results tab.</t>
        </is>
      </c>
    </row>
    <row r="15">
      <c r="A15" s="9" t="inlineStr">
        <is>
          <t>Source: ED_ItemizedTheory_TieredClaims_v2.xlsx (ED Generative), tier counts as of 2026-09-11. These twelve figures are typed from that ledger, not computed here.</t>
        </is>
      </c>
    </row>
  </sheetData>
  <autoFilter ref="A1:C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2026-09-12T21:42:03Z</dcterms:created>
  <dcterms:modified xsi:type="dcterms:W3CDTF">2026-09-12T21:42:03Z</dcterms:modified>
</cp:coreProperties>
</file>
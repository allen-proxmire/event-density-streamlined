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Foundation" sheetId="2" state="visible" r:id="rId2"/>
    <sheet name="Results" sheetId="3" state="visible" r:id="rId3"/>
    <sheet name="Uses Map" sheetId="4" state="visible" r:id="rId4"/>
    <sheet name="Dependencies" sheetId="5" state="visible" r:id="rId5"/>
    <sheet name="Papers" sheetId="6" state="visible" r:id="rId6"/>
    <sheet name="Counts" sheetId="7" state="visible" r:id="rId7"/>
    <sheet name="Not On This List" sheetId="8" state="visible" r:id="rId8"/>
  </sheets>
  <definedNames>
    <definedName name="_xlnm._FilterDatabase" localSheetId="1" hidden="1">'Foundation'!$A$1:$G$57</definedName>
    <definedName name="_xlnm._FilterDatabase" localSheetId="2" hidden="1">'Results'!$A$1:$M$17</definedName>
    <definedName name="_xlnm._FilterDatabase" localSheetId="3" hidden="1">'Uses Map'!$A$1:$F$82</definedName>
    <definedName name="_xlnm._FilterDatabase" localSheetId="4" hidden="1">'Dependencies'!$A$1:$D$13</definedName>
    <definedName name="_xlnm._FilterDatabase" localSheetId="5" hidden="1">'Papers'!$A$1:$D$19</definedName>
    <definedName name="_xlnm._FilterDatabase" localSheetId="7" hidden="1">'Not On This List'!$A$1:$C$13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4"/>
    </font>
    <font>
      <name val="Arial"/>
      <b val="1"/>
      <sz val="10"/>
    </font>
    <font>
      <name val="Arial"/>
      <i val="1"/>
      <sz val="10"/>
    </font>
  </fonts>
  <fills count="3">
    <fill>
      <patternFill/>
    </fill>
    <fill>
      <patternFill patternType="gray125"/>
    </fill>
    <fill>
      <patternFill patternType="solid">
        <fgColor rgb="00404040"/>
      </patternFill>
    </fill>
  </fills>
  <borders count="2">
    <border>
      <left/>
      <right/>
      <top/>
      <bottom/>
      <diagonal/>
    </border>
    <border>
      <bottom style="thin">
        <color rgb="00D0D0D0"/>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8" customWidth="1" min="1" max="1"/>
  </cols>
  <sheetData>
    <row r="1">
      <c r="A1" s="1" t="inlineStr">
        <is>
          <t>Event Density — the streamlined theory</t>
        </is>
      </c>
    </row>
    <row r="2">
      <c r="A2" s="2" t="inlineStr"/>
    </row>
    <row r="3">
      <c r="A3" s="3" t="inlineStr">
        <is>
          <t>What this workbook is</t>
        </is>
      </c>
    </row>
    <row r="4" ht="30" customHeight="1">
      <c r="A4" s="2" t="inlineStr">
        <is>
          <t>The part of Event Density that can be backed, in one file. Two halves: the 53 items ED starts from, and the 16 results that follow from them with nothing hidden added.</t>
        </is>
      </c>
    </row>
    <row r="5" ht="30" customHeight="1">
      <c r="A5" s="2" t="inlineStr">
        <is>
          <t>Built 2026-09-11 from Foundation.md and the sixteen result pages in this folder. Those documents are the source; this workbook is generated from them.</t>
        </is>
      </c>
    </row>
    <row r="6">
      <c r="A6" s="2" t="inlineStr"/>
    </row>
    <row r="7">
      <c r="A7" s="3" t="inlineStr">
        <is>
          <t>The tabs</t>
        </is>
      </c>
    </row>
    <row r="8" ht="30" customHeight="1">
      <c r="A8" s="2" t="inlineStr">
        <is>
          <t>Foundation — all 53 counted items plus the 3 uncounted definitions. Kind, name, plain statement, source paper.</t>
        </is>
      </c>
    </row>
    <row r="9" ht="30" customHeight="1">
      <c r="A9" s="2" t="inlineStr">
        <is>
          <t>Results — the 16, one row each. Claim, strength, what it uses, what it borrows, what it leans on, how to kill it.</t>
        </is>
      </c>
    </row>
    <row r="10" ht="30" customHeight="1">
      <c r="A10" s="2" t="inlineStr">
        <is>
          <t>Uses Map — one row per result-and-item pair. Filter by item key to see everything that uses a given assumption.</t>
        </is>
      </c>
    </row>
    <row r="11" ht="30" customHeight="1">
      <c r="A11" s="2" t="inlineStr">
        <is>
          <t>Dependencies — which results stand on earlier ED results, and where those stand.</t>
        </is>
      </c>
    </row>
    <row r="12" ht="30" customHeight="1">
      <c r="A12" s="2" t="inlineStr">
        <is>
          <t>Papers — the 14 result papers and the 4 upstream papers.</t>
        </is>
      </c>
    </row>
    <row r="13" ht="30" customHeight="1">
      <c r="A13" s="2" t="inlineStr">
        <is>
          <t>Counts — live counts, recalculated from the other tabs.</t>
        </is>
      </c>
    </row>
    <row r="14" ht="30" customHeight="1">
      <c r="A14" s="2" t="inlineStr">
        <is>
          <t>Not On This List — what was left out, and why.</t>
        </is>
      </c>
    </row>
    <row r="15">
      <c r="A15" s="2" t="inlineStr"/>
    </row>
    <row r="16">
      <c r="A16" s="3" t="inlineStr">
        <is>
          <t>The rule</t>
        </is>
      </c>
    </row>
    <row r="17" ht="30" customHeight="1">
      <c r="A17" s="2" t="inlineStr">
        <is>
          <t>Everything here traces back to the Foundation tab. A result that needs an assumption not on that page does not belong on this list, however good the result is.</t>
        </is>
      </c>
    </row>
    <row r="18">
      <c r="A18" s="2" t="inlineStr"/>
    </row>
    <row r="19">
      <c r="A19" s="3" t="inlineStr">
        <is>
          <t>The one thing to know up front</t>
        </is>
      </c>
    </row>
    <row r="20" ht="30" customHeight="1">
      <c r="A20" s="2" t="inlineStr">
        <is>
          <t>Six of the sixteen pass through the same step: the emergent metric, whose lapse rests on a band-accounting premise that is argued rather than closed. If that premise fails, those six fall together. They are marked on the Dependencies tab.</t>
        </is>
      </c>
    </row>
    <row r="21">
      <c r="A21" s="2" t="inlineStr"/>
    </row>
    <row r="22">
      <c r="A22" s="3" t="inlineStr">
        <is>
          <t>What the strength words mean</t>
        </is>
      </c>
    </row>
    <row r="23" ht="30" customHeight="1">
      <c r="A23" s="2" t="inlineStr">
        <is>
          <t>Follows from the foundation means the result needs nothing beyond the 53 items and standard mathematics. Where a result also borrows a tool or a value from published physics, the Results tab names it, so the borrowing is not hidden inside the word derived.</t>
        </is>
      </c>
    </row>
    <row r="24">
      <c r="A24" s="2" t="inlineStr"/>
    </row>
    <row r="25">
      <c r="A25" s="3" t="inlineStr">
        <is>
          <t>Source of record</t>
        </is>
      </c>
    </row>
    <row r="26" ht="30" customHeight="1">
      <c r="A26" s="2" t="inlineStr">
        <is>
          <t>The canonical corpus is the ED Generative repository and its claims ledger, ED_ItemizedTheory_TieredClaims_v2.xlsx. Ledger row numbers on the Results tab point into that ledger.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0" customWidth="1" min="3" max="3"/>
    <col width="78" customWidth="1" min="4" max="4"/>
    <col width="16" customWidth="1" min="5" max="5"/>
    <col width="46" customWidth="1" min="6" max="6"/>
    <col width="8" customWidth="1" min="7" max="7"/>
  </cols>
  <sheetData>
    <row r="1" ht="28" customHeight="1">
      <c r="A1" s="4" t="inlineStr">
        <is>
          <t>Kind</t>
        </is>
      </c>
      <c r="B1" s="4" t="inlineStr">
        <is>
          <t>No.</t>
        </is>
      </c>
      <c r="C1" s="4" t="inlineStr">
        <is>
          <t>Name</t>
        </is>
      </c>
      <c r="D1" s="4" t="inlineStr">
        <is>
          <t>What it says</t>
        </is>
      </c>
      <c r="E1" s="4" t="inlineStr">
        <is>
          <t>Where</t>
        </is>
      </c>
      <c r="F1" s="4" t="inlineStr">
        <is>
          <t>Note</t>
        </is>
      </c>
      <c r="G1" s="4" t="inlineStr">
        <is>
          <t>Key</t>
        </is>
      </c>
    </row>
    <row r="2">
      <c r="A2" s="5" t="inlineStr">
        <is>
          <t>Primitive</t>
        </is>
      </c>
      <c r="B2" s="5" t="inlineStr">
        <is>
          <t>P01</t>
        </is>
      </c>
      <c r="C2" s="6" t="inlineStr"/>
      <c r="D2" s="6" t="inlineStr">
        <is>
          <t>Existence layer: the foundational existence commitment. Below it there is no further substrate structure.</t>
        </is>
      </c>
      <c r="E2" s="5" t="inlineStr">
        <is>
          <t>Paper_087</t>
        </is>
      </c>
      <c r="F2" s="6" t="inlineStr"/>
      <c r="G2" s="5" t="inlineStr">
        <is>
          <t>P01</t>
        </is>
      </c>
    </row>
    <row r="3">
      <c r="A3" s="5" t="inlineStr">
        <is>
          <t>Primitive</t>
        </is>
      </c>
      <c r="B3" s="5" t="inlineStr">
        <is>
          <t>P02</t>
        </is>
      </c>
      <c r="C3" s="6" t="inlineStr"/>
      <c r="D3" s="6" t="inlineStr">
        <is>
          <t>Participation is the primitive relation. Chains participate, and composite structures derive from that.</t>
        </is>
      </c>
      <c r="E3" s="5" t="inlineStr">
        <is>
          <t>Paper_087</t>
        </is>
      </c>
      <c r="F3" s="6" t="inlineStr"/>
      <c r="G3" s="5" t="inlineStr">
        <is>
          <t>P02</t>
        </is>
      </c>
    </row>
    <row r="4">
      <c r="A4" s="5" t="inlineStr">
        <is>
          <t>Primitive</t>
        </is>
      </c>
      <c r="B4" s="5" t="inlineStr">
        <is>
          <t>P03</t>
        </is>
      </c>
      <c r="C4" s="6" t="inlineStr"/>
      <c r="D4" s="6" t="inlineStr">
        <is>
          <t>Channels and loci are indexed, and space is homogeneous.</t>
        </is>
      </c>
      <c r="E4" s="5" t="inlineStr">
        <is>
          <t>Paper_087</t>
        </is>
      </c>
      <c r="F4" s="6" t="inlineStr"/>
      <c r="G4" s="5" t="inlineStr">
        <is>
          <t>P03</t>
        </is>
      </c>
    </row>
    <row r="5">
      <c r="A5" s="5" t="inlineStr">
        <is>
          <t>Primitive</t>
        </is>
      </c>
      <c r="B5" s="5" t="inlineStr">
        <is>
          <t>P04</t>
        </is>
      </c>
      <c r="C5" s="6" t="inlineStr"/>
      <c r="D5" s="6" t="inlineStr">
        <is>
          <t>Bandwidth: a non-negative, additive quantity.</t>
        </is>
      </c>
      <c r="E5" s="5" t="inlineStr">
        <is>
          <t>Paper_087</t>
        </is>
      </c>
      <c r="F5" s="6" t="inlineStr"/>
      <c r="G5" s="5" t="inlineStr">
        <is>
          <t>P04</t>
        </is>
      </c>
    </row>
    <row r="6">
      <c r="A6" s="5" t="inlineStr">
        <is>
          <t>Primitive</t>
        </is>
      </c>
      <c r="B6" s="5" t="inlineStr">
        <is>
          <t>P05</t>
        </is>
      </c>
      <c r="C6" s="6" t="inlineStr"/>
      <c r="D6" s="6" t="inlineStr">
        <is>
          <t>Polarity is transported between neighbouring loci.</t>
        </is>
      </c>
      <c r="E6" s="5" t="inlineStr">
        <is>
          <t>Paper_087</t>
        </is>
      </c>
      <c r="F6" s="6" t="inlineStr"/>
      <c r="G6" s="5" t="inlineStr">
        <is>
          <t>P05</t>
        </is>
      </c>
    </row>
    <row r="7">
      <c r="A7" s="5" t="inlineStr">
        <is>
          <t>Primitive</t>
        </is>
      </c>
      <c r="B7" s="5" t="inlineStr">
        <is>
          <t>P06</t>
        </is>
      </c>
      <c r="C7" s="6" t="inlineStr"/>
      <c r="D7" s="6" t="inlineStr">
        <is>
          <t>Space has 3 dimensions, plus time (D = 3+1).</t>
        </is>
      </c>
      <c r="E7" s="5" t="inlineStr">
        <is>
          <t>Paper_087</t>
        </is>
      </c>
      <c r="F7" s="6" t="inlineStr"/>
      <c r="G7" s="5" t="inlineStr">
        <is>
          <t>P06</t>
        </is>
      </c>
    </row>
    <row r="8">
      <c r="A8" s="5" t="inlineStr">
        <is>
          <t>Primitive</t>
        </is>
      </c>
      <c r="B8" s="5" t="inlineStr">
        <is>
          <t>P07</t>
        </is>
      </c>
      <c r="C8" s="6" t="inlineStr"/>
      <c r="D8" s="6" t="inlineStr">
        <is>
          <t>Channel structure is basic, not built from something else.</t>
        </is>
      </c>
      <c r="E8" s="5" t="inlineStr">
        <is>
          <t>Paper_087</t>
        </is>
      </c>
      <c r="F8" s="6" t="inlineStr"/>
      <c r="G8" s="5" t="inlineStr">
        <is>
          <t>P07</t>
        </is>
      </c>
    </row>
    <row r="9">
      <c r="A9" s="5" t="inlineStr">
        <is>
          <t>Primitive</t>
        </is>
      </c>
      <c r="B9" s="5" t="inlineStr">
        <is>
          <t>P08</t>
        </is>
      </c>
      <c r="C9" s="6" t="inlineStr"/>
      <c r="D9" s="6" t="inlineStr">
        <is>
          <t>The substrate has a smallest scale, ℓ_ED (matched to the Planck length).</t>
        </is>
      </c>
      <c r="E9" s="5" t="inlineStr">
        <is>
          <t>Paper_087</t>
        </is>
      </c>
      <c r="F9" s="6" t="inlineStr"/>
      <c r="G9" s="5" t="inlineStr">
        <is>
          <t>P08</t>
        </is>
      </c>
    </row>
    <row r="10">
      <c r="A10" s="5" t="inlineStr">
        <is>
          <t>Primitive</t>
        </is>
      </c>
      <c r="B10" s="5" t="inlineStr">
        <is>
          <t>P09</t>
        </is>
      </c>
      <c r="C10" s="6" t="inlineStr"/>
      <c r="D10" s="6" t="inlineStr">
        <is>
          <t>Polarity takes values in U(1), an angle.</t>
        </is>
      </c>
      <c r="E10" s="5" t="inlineStr">
        <is>
          <t>Paper_087</t>
        </is>
      </c>
      <c r="F10" s="6" t="inlineStr"/>
      <c r="G10" s="5" t="inlineStr">
        <is>
          <t>P09</t>
        </is>
      </c>
    </row>
    <row r="11">
      <c r="A11" s="5" t="inlineStr">
        <is>
          <t>Primitive</t>
        </is>
      </c>
      <c r="B11" s="5" t="inlineStr">
        <is>
          <t>P10</t>
        </is>
      </c>
      <c r="C11" s="6" t="inlineStr"/>
      <c r="D11" s="6" t="inlineStr">
        <is>
          <t>Rule-types are primitive. This is what allows the V5 kernel to exist as one.</t>
        </is>
      </c>
      <c r="E11" s="5" t="inlineStr">
        <is>
          <t>Paper_087</t>
        </is>
      </c>
      <c r="F11" s="6" t="inlineStr"/>
      <c r="G11" s="5" t="inlineStr">
        <is>
          <t>P10</t>
        </is>
      </c>
    </row>
    <row r="12">
      <c r="A12" s="5" t="inlineStr">
        <is>
          <t>Primitive</t>
        </is>
      </c>
      <c r="B12" s="5" t="inlineStr">
        <is>
          <t>P11</t>
        </is>
      </c>
      <c r="C12" s="6" t="inlineStr"/>
      <c r="D12" s="6" t="inlineStr">
        <is>
          <t>Commitment is irreversible, with the environment randomizing phase. This is the arrow of time.</t>
        </is>
      </c>
      <c r="E12" s="5" t="inlineStr">
        <is>
          <t>Paper_087</t>
        </is>
      </c>
      <c r="F12" s="6" t="inlineStr"/>
      <c r="G12" s="5" t="inlineStr">
        <is>
          <t>P11</t>
        </is>
      </c>
    </row>
    <row r="13">
      <c r="A13" s="5" t="inlineStr">
        <is>
          <t>Primitive</t>
        </is>
      </c>
      <c r="B13" s="5" t="inlineStr">
        <is>
          <t>P12</t>
        </is>
      </c>
      <c r="C13" s="6" t="inlineStr"/>
      <c r="D13" s="6" t="inlineStr">
        <is>
          <t>Each chain has a stability landscape, Σ = Coh − Str − Grad.</t>
        </is>
      </c>
      <c r="E13" s="5" t="inlineStr">
        <is>
          <t>Paper_087</t>
        </is>
      </c>
      <c r="F13" s="6" t="inlineStr"/>
      <c r="G13" s="5" t="inlineStr">
        <is>
          <t>P12</t>
        </is>
      </c>
    </row>
    <row r="14">
      <c r="A14" s="5" t="inlineStr">
        <is>
          <t>Primitive</t>
        </is>
      </c>
      <c r="B14" s="5" t="inlineStr">
        <is>
          <t>P13</t>
        </is>
      </c>
      <c r="C14" s="6" t="inlineStr"/>
      <c r="D14" s="6" t="inlineStr">
        <is>
          <t>Time is homogeneous, and events are discrete.</t>
        </is>
      </c>
      <c r="E14" s="5" t="inlineStr">
        <is>
          <t>Paper_087</t>
        </is>
      </c>
      <c r="F14" s="6" t="inlineStr"/>
      <c r="G14" s="5" t="inlineStr">
        <is>
          <t>P13</t>
        </is>
      </c>
    </row>
    <row r="15">
      <c r="A15" s="5" t="inlineStr">
        <is>
          <t>Constant</t>
        </is>
      </c>
      <c r="B15" s="5" t="inlineStr">
        <is>
          <t>c</t>
        </is>
      </c>
      <c r="C15" s="6" t="inlineStr"/>
      <c r="D15" s="6" t="inlineStr">
        <is>
          <t>the rate of becoming: how a tick converts to a hop</t>
        </is>
      </c>
      <c r="E15" s="5" t="inlineStr">
        <is>
          <t>core 38 lines</t>
        </is>
      </c>
      <c r="F15" s="6" t="inlineStr"/>
      <c r="G15" s="5" t="inlineStr">
        <is>
          <t>c</t>
        </is>
      </c>
    </row>
    <row r="16">
      <c r="A16" s="5" t="inlineStr">
        <is>
          <t>Constant</t>
        </is>
      </c>
      <c r="B16" s="5" t="inlineStr">
        <is>
          <t>G</t>
        </is>
      </c>
      <c r="C16" s="6" t="inlineStr"/>
      <c r="D16" s="6" t="inlineStr">
        <is>
          <t>Newton's constant, G = c³ℓ_P²/ħ</t>
        </is>
      </c>
      <c r="E16" s="5" t="inlineStr">
        <is>
          <t>core 38 lines</t>
        </is>
      </c>
      <c r="F16" s="6" t="inlineStr"/>
      <c r="G16" s="5" t="inlineStr">
        <is>
          <t>G</t>
        </is>
      </c>
    </row>
    <row r="17">
      <c r="A17" s="5" t="inlineStr">
        <is>
          <t>Constant</t>
        </is>
      </c>
      <c r="B17" s="5" t="inlineStr">
        <is>
          <t>a₀</t>
        </is>
      </c>
      <c r="C17" s="6" t="inlineStr"/>
      <c r="D17" s="6" t="inlineStr">
        <is>
          <t>the MOND acceleration scale, a₀ = cH₀/2π (the scale ∼ cH₀ is supported; the 1/2π is disputed)</t>
        </is>
      </c>
      <c r="E17" s="5" t="inlineStr">
        <is>
          <t>core 38 lines</t>
        </is>
      </c>
      <c r="F17" s="6" t="inlineStr"/>
      <c r="G17" s="5" t="inlineStr">
        <is>
          <t>a₀</t>
        </is>
      </c>
    </row>
    <row r="18">
      <c r="A18" s="5" t="inlineStr">
        <is>
          <t>Constant</t>
        </is>
      </c>
      <c r="B18" s="5" t="inlineStr">
        <is>
          <t>Λ</t>
        </is>
      </c>
      <c r="C18" s="6" t="inlineStr"/>
      <c r="D18" s="6" t="inlineStr">
        <is>
          <t>the cosmological constant</t>
        </is>
      </c>
      <c r="E18" s="5" t="inlineStr">
        <is>
          <t>core 38 lines</t>
        </is>
      </c>
      <c r="F18" s="6" t="inlineStr"/>
      <c r="G18" s="5" t="inlineStr">
        <is>
          <t>Λ</t>
        </is>
      </c>
    </row>
    <row r="19">
      <c r="A19" s="5" t="inlineStr">
        <is>
          <t>Constant</t>
        </is>
      </c>
      <c r="B19" s="5" t="inlineStr">
        <is>
          <t>ħ</t>
        </is>
      </c>
      <c r="C19" s="6" t="inlineStr"/>
      <c r="D19" s="6" t="inlineStr">
        <is>
          <t>the action of one commitment</t>
        </is>
      </c>
      <c r="E19" s="5" t="inlineStr">
        <is>
          <t>core 38 lines</t>
        </is>
      </c>
      <c r="F19" s="6" t="inlineStr"/>
      <c r="G19" s="5" t="inlineStr">
        <is>
          <t>ħ</t>
        </is>
      </c>
    </row>
    <row r="20">
      <c r="A20" s="5" t="inlineStr">
        <is>
          <t>Constant</t>
        </is>
      </c>
      <c r="B20" s="5" t="inlineStr">
        <is>
          <t>ℓ_P</t>
        </is>
      </c>
      <c r="C20" s="6" t="inlineStr"/>
      <c r="D20" s="6" t="inlineStr">
        <is>
          <t>the Planck length, equal to ℓ_ED: the size of one hop</t>
        </is>
      </c>
      <c r="E20" s="5" t="inlineStr">
        <is>
          <t>core 38 lines</t>
        </is>
      </c>
      <c r="F20" s="6" t="inlineStr"/>
      <c r="G20" s="5" t="inlineStr">
        <is>
          <t>ℓ_P</t>
        </is>
      </c>
    </row>
    <row r="21">
      <c r="A21" s="5" t="inlineStr">
        <is>
          <t>Constant</t>
        </is>
      </c>
      <c r="B21" s="5" t="inlineStr">
        <is>
          <t>H₀</t>
        </is>
      </c>
      <c r="C21" s="6" t="inlineStr"/>
      <c r="D21" s="6" t="inlineStr">
        <is>
          <t>the Hubble rate</t>
        </is>
      </c>
      <c r="E21" s="5" t="inlineStr">
        <is>
          <t>core 38 lines</t>
        </is>
      </c>
      <c r="F21" s="6" t="inlineStr"/>
      <c r="G21" s="5" t="inlineStr">
        <is>
          <t>H₀</t>
        </is>
      </c>
    </row>
    <row r="22">
      <c r="A22" s="5" t="inlineStr">
        <is>
          <t>Constant</t>
        </is>
      </c>
      <c r="B22" s="5" t="inlineStr">
        <is>
          <t>masses</t>
        </is>
      </c>
      <c r="C22" s="6" t="inlineStr"/>
      <c r="D22" s="6" t="inlineStr">
        <is>
          <t>the particle masses</t>
        </is>
      </c>
      <c r="E22" s="5" t="inlineStr">
        <is>
          <t>core 38 lines</t>
        </is>
      </c>
      <c r="F22" s="6" t="inlineStr"/>
      <c r="G22" s="5" t="inlineStr">
        <is>
          <t>masses</t>
        </is>
      </c>
    </row>
    <row r="23">
      <c r="A23" s="5" t="inlineStr">
        <is>
          <t>Constant</t>
        </is>
      </c>
      <c r="B23" s="5" t="inlineStr">
        <is>
          <t>g</t>
        </is>
      </c>
      <c r="C23" s="6" t="inlineStr"/>
      <c r="D23" s="6" t="inlineStr">
        <is>
          <t>the gauge couplings</t>
        </is>
      </c>
      <c r="E23" s="5" t="inlineStr">
        <is>
          <t>core 38 lines</t>
        </is>
      </c>
      <c r="F23" s="6" t="inlineStr"/>
      <c r="G23" s="5" t="inlineStr">
        <is>
          <t>g</t>
        </is>
      </c>
    </row>
    <row r="24">
      <c r="A24" s="5" t="inlineStr">
        <is>
          <t>Constant</t>
        </is>
      </c>
      <c r="B24" s="5" t="inlineStr">
        <is>
          <t>α</t>
        </is>
      </c>
      <c r="C24" s="6" t="inlineStr"/>
      <c r="D24" s="6" t="inlineStr">
        <is>
          <t>the fine-structure constant (about 1/137) and the mass ratios</t>
        </is>
      </c>
      <c r="E24" s="5" t="inlineStr">
        <is>
          <t>core 38 lines</t>
        </is>
      </c>
      <c r="F24" s="6" t="inlineStr"/>
      <c r="G24" s="5" t="inlineStr">
        <is>
          <t>α</t>
        </is>
      </c>
    </row>
    <row r="25">
      <c r="A25" s="5" t="inlineStr">
        <is>
          <t>Axiom</t>
        </is>
      </c>
      <c r="B25" s="5" t="inlineStr">
        <is>
          <t>1</t>
        </is>
      </c>
      <c r="C25" s="6" t="inlineStr">
        <is>
          <t>SCBU</t>
        </is>
      </c>
      <c r="D25" s="6" t="inlineStr">
        <is>
          <t>the MOND scale a₀ and the scale ξ come from one boundary, the cosmic horizon R_H = c/H₀</t>
        </is>
      </c>
      <c r="E25" s="5" t="inlineStr">
        <is>
          <t>SCBU paper</t>
        </is>
      </c>
      <c r="F25" s="6" t="inlineStr"/>
      <c r="G25" s="5" t="inlineStr">
        <is>
          <t>A1</t>
        </is>
      </c>
    </row>
    <row r="26">
      <c r="A26" s="5" t="inlineStr">
        <is>
          <t>Axiom</t>
        </is>
      </c>
      <c r="B26" s="5" t="inlineStr">
        <is>
          <t>2</t>
        </is>
      </c>
      <c r="C26" s="6" t="inlineStr">
        <is>
          <t>P-Bipartite-Mapping</t>
        </is>
      </c>
      <c r="D26" s="6" t="inlineStr">
        <is>
          <t>two-chain states have tensor-product structure; unentangled states factor as Ψ^A ⊗ Ψ^B</t>
        </is>
      </c>
      <c r="E26" s="5" t="inlineStr">
        <is>
          <t>063</t>
        </is>
      </c>
      <c r="F26" s="6" t="inlineStr"/>
      <c r="G26" s="5" t="inlineStr">
        <is>
          <t>A2</t>
        </is>
      </c>
    </row>
    <row r="27">
      <c r="A27" s="5" t="inlineStr">
        <is>
          <t>Axiom</t>
        </is>
      </c>
      <c r="B27" s="5" t="inlineStr">
        <is>
          <t>3</t>
        </is>
      </c>
      <c r="C27" s="6" t="inlineStr">
        <is>
          <t>P-V5-Schmidt-Generic</t>
        </is>
      </c>
      <c r="D27" s="6" t="inlineStr">
        <is>
          <t>chains linked by V5 are generically entangled (Schmidt rank above 1)</t>
        </is>
      </c>
      <c r="E27" s="5" t="inlineStr">
        <is>
          <t>064</t>
        </is>
      </c>
      <c r="F27" s="6" t="inlineStr"/>
      <c r="G27" s="5" t="inlineStr">
        <is>
          <t>A3</t>
        </is>
      </c>
    </row>
    <row r="28">
      <c r="A28" s="5" t="inlineStr">
        <is>
          <t>Axiom</t>
        </is>
      </c>
      <c r="B28" s="5" t="inlineStr">
        <is>
          <t>4</t>
        </is>
      </c>
      <c r="C28" s="6" t="inlineStr">
        <is>
          <t>P-V5-Budget and P-Measure-Saturation</t>
        </is>
      </c>
      <c r="D28" s="6" t="inlineStr">
        <is>
          <t>each chain has a finite budget for entanglement, and maximal entanglement uses all of it</t>
        </is>
      </c>
      <c r="E28" s="5" t="inlineStr">
        <is>
          <t>065</t>
        </is>
      </c>
      <c r="F28" s="6" t="inlineStr"/>
      <c r="G28" s="5" t="inlineStr">
        <is>
          <t>A4</t>
        </is>
      </c>
    </row>
    <row r="29">
      <c r="A29" s="5" t="inlineStr">
        <is>
          <t>Axiom</t>
        </is>
      </c>
      <c r="B29" s="5" t="inlineStr">
        <is>
          <t>5</t>
        </is>
      </c>
      <c r="C29" s="6" t="inlineStr">
        <is>
          <t>P-V5-Hilbert-Constraint</t>
        </is>
      </c>
      <c r="D29" s="6" t="inlineStr">
        <is>
          <t>ED's correlations reach the Tsirelson bound and no further (no PR boxes)</t>
        </is>
      </c>
      <c r="E29" s="5" t="inlineStr">
        <is>
          <t>069</t>
        </is>
      </c>
      <c r="F29" s="6" t="inlineStr"/>
      <c r="G29" s="5" t="inlineStr">
        <is>
          <t>A5</t>
        </is>
      </c>
    </row>
    <row r="30">
      <c r="A30" s="5" t="inlineStr">
        <is>
          <t>Axiom</t>
        </is>
      </c>
      <c r="B30" s="5" t="inlineStr">
        <is>
          <t>6</t>
        </is>
      </c>
      <c r="C30" s="6" t="inlineStr">
        <is>
          <t>P-Quadratic-Strain (Model C)</t>
        </is>
      </c>
      <c r="D30" s="6" t="inlineStr">
        <is>
          <t>the gravitational strain on a channel is the squared size of the total amplitude arriving on it, not a plain sum of the sources. The squared terms give Newton; the cross term between two sources gives MOND's geometric mean. The paper calls it a chosen reading, like Paper_026's linear one</t>
        </is>
      </c>
      <c r="E30" s="5" t="inlineStr">
        <is>
          <t>QuadraticStrain</t>
        </is>
      </c>
      <c r="F30" s="6" t="inlineStr"/>
      <c r="G30" s="5" t="inlineStr">
        <is>
          <t>A6</t>
        </is>
      </c>
    </row>
    <row r="31">
      <c r="A31" s="5" t="inlineStr">
        <is>
          <t>Axiom</t>
        </is>
      </c>
      <c r="B31" s="5" t="inlineStr">
        <is>
          <t>7</t>
        </is>
      </c>
      <c r="C31" s="6" t="inlineStr">
        <is>
          <t>P-YM-Action-Coarse-Graining</t>
        </is>
      </c>
      <c r="D31" s="6" t="inlineStr">
        <is>
          <t>zoomed out, the substrate gives the Yang–Mills action</t>
        </is>
      </c>
      <c r="E31" s="5" t="inlineStr">
        <is>
          <t>019</t>
        </is>
      </c>
      <c r="F31" s="6" t="inlineStr"/>
      <c r="G31" s="5" t="inlineStr">
        <is>
          <t>A7</t>
        </is>
      </c>
    </row>
    <row r="32">
      <c r="A32" s="5" t="inlineStr">
        <is>
          <t>Axiom</t>
        </is>
      </c>
      <c r="B32" s="5" t="inlineStr">
        <is>
          <t>8</t>
        </is>
      </c>
      <c r="C32" s="6" t="inlineStr">
        <is>
          <t>P-OS-Reflection-Positivity</t>
        </is>
      </c>
      <c r="D32" s="6" t="inlineStr">
        <is>
          <t>the zoomed-out theory satisfies reflection positivity (OS3)</t>
        </is>
      </c>
      <c r="E32" s="5" t="inlineStr">
        <is>
          <t>020</t>
        </is>
      </c>
      <c r="F32" s="6" t="inlineStr"/>
      <c r="G32" s="5" t="inlineStr">
        <is>
          <t>A8</t>
        </is>
      </c>
    </row>
    <row r="33">
      <c r="A33" s="5" t="inlineStr">
        <is>
          <t>Axiom</t>
        </is>
      </c>
      <c r="B33" s="5" t="inlineStr">
        <is>
          <t>9</t>
        </is>
      </c>
      <c r="C33" s="6" t="inlineStr">
        <is>
          <t>P-Profile-Rescaling</t>
        </is>
      </c>
      <c r="D33" s="6" t="inlineStr">
        <is>
          <t>the Yang–Mills continuum limit survives rescaling</t>
        </is>
      </c>
      <c r="E33" s="5" t="inlineStr">
        <is>
          <t>021</t>
        </is>
      </c>
      <c r="F33" s="6" t="inlineStr"/>
      <c r="G33" s="5" t="inlineStr">
        <is>
          <t>A9</t>
        </is>
      </c>
    </row>
    <row r="34">
      <c r="A34" s="5" t="inlineStr">
        <is>
          <t>Axiom</t>
        </is>
      </c>
      <c r="B34" s="5" t="inlineStr">
        <is>
          <t>10</t>
        </is>
      </c>
      <c r="C34" s="6" t="inlineStr">
        <is>
          <t>P-QMkin-Composition</t>
        </is>
      </c>
      <c r="D34" s="6" t="inlineStr">
        <is>
          <t>combined systems compose by tensor product, Ψ^AB = Ψ^A ⊗ Ψ^B</t>
        </is>
      </c>
      <c r="E34" s="5" t="inlineStr">
        <is>
          <t>002</t>
        </is>
      </c>
      <c r="F34" s="6" t="inlineStr"/>
      <c r="G34" s="5" t="inlineStr">
        <is>
          <t>A10</t>
        </is>
      </c>
    </row>
    <row r="35">
      <c r="A35" s="5" t="inlineStr">
        <is>
          <t>Axiom</t>
        </is>
      </c>
      <c r="B35" s="5" t="inlineStr">
        <is>
          <t>11</t>
        </is>
      </c>
      <c r="C35" s="6" t="inlineStr">
        <is>
          <t>P-RB-1</t>
        </is>
      </c>
      <c r="D35" s="6" t="inlineStr">
        <is>
          <t>there is a local rate of becoming, and the substrate's c is constant</t>
        </is>
      </c>
      <c r="E35" s="5" t="inlineStr">
        <is>
          <t>012</t>
        </is>
      </c>
      <c r="F35" s="6" t="inlineStr"/>
      <c r="G35" s="5" t="inlineStr">
        <is>
          <t>A11</t>
        </is>
      </c>
    </row>
    <row r="36">
      <c r="A36" s="5" t="inlineStr">
        <is>
          <t>Axiom</t>
        </is>
      </c>
      <c r="B36" s="5" t="inlineStr">
        <is>
          <t>12</t>
        </is>
      </c>
      <c r="C36" s="6" t="inlineStr">
        <is>
          <t>P-Gauge</t>
        </is>
      </c>
      <c r="D36" s="6" t="inlineStr">
        <is>
          <t>gauge rule-types carry a connection (a potential A) on their bundles, it shifts under a gauge group (U(1) or a larger one), and only the gauge-invariant (transverse) modes are physical. The paper says deriving it from the primitives is open</t>
        </is>
      </c>
      <c r="E36" s="5" t="inlineStr">
        <is>
          <t>114</t>
        </is>
      </c>
      <c r="F36" s="6" t="inlineStr"/>
      <c r="G36" s="5" t="inlineStr">
        <is>
          <t>A12</t>
        </is>
      </c>
    </row>
    <row r="37">
      <c r="A37" s="5" t="inlineStr">
        <is>
          <t>Axiom</t>
        </is>
      </c>
      <c r="B37" s="5" t="inlineStr">
        <is>
          <t>13</t>
        </is>
      </c>
      <c r="C37" s="6" t="inlineStr">
        <is>
          <t>P-QD-LiveWeight</t>
        </is>
      </c>
      <c r="D37" s="6" t="inlineStr">
        <is>
          <t>uncommitted correlation between branches uses up V5 budget</t>
        </is>
      </c>
      <c r="E37" s="5" t="inlineStr">
        <is>
          <t>QuantumDarwinism</t>
        </is>
      </c>
      <c r="F37" s="6" t="inlineStr"/>
      <c r="G37" s="5" t="inlineStr">
        <is>
          <t>A13</t>
        </is>
      </c>
    </row>
    <row r="38">
      <c r="A38" s="5" t="inlineStr">
        <is>
          <t>Axiom</t>
        </is>
      </c>
      <c r="B38" s="5" t="inlineStr">
        <is>
          <t>14</t>
        </is>
      </c>
      <c r="C38" s="6" t="inlineStr">
        <is>
          <t>V5 exists</t>
        </is>
      </c>
      <c r="D38" s="6" t="inlineStr">
        <is>
          <t>a kernel linking different chains exists (P10 allows it; nothing derives it)</t>
        </is>
      </c>
      <c r="E38" s="5" t="inlineStr">
        <is>
          <t>090</t>
        </is>
      </c>
      <c r="F38" s="6" t="inlineStr"/>
      <c r="G38" s="5" t="inlineStr">
        <is>
          <t>A14</t>
        </is>
      </c>
    </row>
    <row r="39">
      <c r="A39" s="5" t="inlineStr">
        <is>
          <t>Axiom</t>
        </is>
      </c>
      <c r="B39" s="5" t="inlineStr">
        <is>
          <t>15</t>
        </is>
      </c>
      <c r="C39" s="6" t="inlineStr">
        <is>
          <t>P-LinRate</t>
        </is>
      </c>
      <c r="D39" s="6" t="inlineStr">
        <is>
          <t>a channel is chosen in proportion to its bandwidth. This is the core of the Born rule, taken as given</t>
        </is>
      </c>
      <c r="E39" s="5" t="inlineStr">
        <is>
          <t>003</t>
        </is>
      </c>
      <c r="F39" s="6" t="inlineStr">
        <is>
          <t>"the load-bearing postulate"</t>
        </is>
      </c>
      <c r="G39" s="5" t="inlineStr">
        <is>
          <t>A15</t>
        </is>
      </c>
    </row>
    <row r="40">
      <c r="A40" s="5" t="inlineStr">
        <is>
          <t>Axiom</t>
        </is>
      </c>
      <c r="B40" s="5" t="inlineStr">
        <is>
          <t>16</t>
        </is>
      </c>
      <c r="C40" s="6" t="inlineStr">
        <is>
          <t>P-Channel-Orthogonality</t>
        </is>
      </c>
      <c r="D40" s="6" t="inlineStr">
        <is>
          <t>different channels do not overlap</t>
        </is>
      </c>
      <c r="E40" s="5" t="inlineStr">
        <is>
          <t>004</t>
        </is>
      </c>
      <c r="F40" s="6" t="inlineStr">
        <is>
          <t>"remains fully open"; three attempts to derive it failed</t>
        </is>
      </c>
      <c r="G40" s="5" t="inlineStr">
        <is>
          <t>A16</t>
        </is>
      </c>
    </row>
    <row r="41">
      <c r="A41" s="5" t="inlineStr">
        <is>
          <t>Axiom</t>
        </is>
      </c>
      <c r="B41" s="5" t="inlineStr">
        <is>
          <t>17</t>
        </is>
      </c>
      <c r="C41" s="6" t="inlineStr">
        <is>
          <t>P-Gleason-Compatibility</t>
        </is>
      </c>
      <c r="D41" s="6" t="inlineStr">
        <is>
          <t>ED's probabilities meet the conditions Gleason's theorem needs</t>
        </is>
      </c>
      <c r="E41" s="5" t="inlineStr">
        <is>
          <t>004</t>
        </is>
      </c>
      <c r="F41" s="6" t="inlineStr">
        <is>
          <t>partly shown (2026-07-02 update)</t>
        </is>
      </c>
      <c r="G41" s="5" t="inlineStr">
        <is>
          <t>A17</t>
        </is>
      </c>
    </row>
    <row r="42">
      <c r="A42" s="5" t="inlineStr">
        <is>
          <t>Axiom</t>
        </is>
      </c>
      <c r="B42" s="5" t="inlineStr">
        <is>
          <t>18</t>
        </is>
      </c>
      <c r="C42" s="6" t="inlineStr">
        <is>
          <t>P-T18-Arrow-Inheritance</t>
        </is>
      </c>
      <c r="D42" s="6" t="inlineStr">
        <is>
          <t>the everyday arrows of time (heat, light, the cosmos) come from the kernel's arrow</t>
        </is>
      </c>
      <c r="E42" s="5" t="inlineStr">
        <is>
          <t>093</t>
        </is>
      </c>
      <c r="F42" s="6" t="inlineStr">
        <is>
          <t>a postulate</t>
        </is>
      </c>
      <c r="G42" s="5" t="inlineStr">
        <is>
          <t>A18</t>
        </is>
      </c>
    </row>
    <row r="43">
      <c r="A43" s="5" t="inlineStr">
        <is>
          <t>Axiom</t>
        </is>
      </c>
      <c r="B43" s="5" t="inlineStr">
        <is>
          <t>19</t>
        </is>
      </c>
      <c r="C43" s="6" t="inlineStr">
        <is>
          <t>P-Causality-Propagation</t>
        </is>
      </c>
      <c r="D43" s="6" t="inlineStr">
        <is>
          <t>everyday cause and effect comes from the substrate's</t>
        </is>
      </c>
      <c r="E43" s="5" t="inlineStr">
        <is>
          <t>094</t>
        </is>
      </c>
      <c r="F43" s="6" t="inlineStr">
        <is>
          <t>a postulate</t>
        </is>
      </c>
      <c r="G43" s="5" t="inlineStr">
        <is>
          <t>A19</t>
        </is>
      </c>
    </row>
    <row r="44">
      <c r="A44" s="5" t="inlineStr">
        <is>
          <t>Axiom</t>
        </is>
      </c>
      <c r="B44" s="5" t="inlineStr">
        <is>
          <t>20</t>
        </is>
      </c>
      <c r="C44" s="6" t="inlineStr">
        <is>
          <t>P-Hierarchy-Closure</t>
        </is>
      </c>
      <c r="D44" s="6" t="inlineStr">
        <is>
          <t>zooming out never creates a new kind of kernel</t>
        </is>
      </c>
      <c r="E44" s="5" t="inlineStr">
        <is>
          <t>092</t>
        </is>
      </c>
      <c r="F44" s="6" t="inlineStr">
        <is>
          <t>a postulate</t>
        </is>
      </c>
      <c r="G44" s="5" t="inlineStr">
        <is>
          <t>A20</t>
        </is>
      </c>
    </row>
    <row r="45">
      <c r="A45" s="5" t="inlineStr">
        <is>
          <t>Axiom</t>
        </is>
      </c>
      <c r="B45" s="5" t="inlineStr">
        <is>
          <t>21</t>
        </is>
      </c>
      <c r="C45" s="6" t="inlineStr">
        <is>
          <t>The V1 kernel has this shape</t>
        </is>
      </c>
      <c r="D45" s="6" t="inlineStr">
        <is>
          <t>a chain's response to its own earlier state is a bounded envelope in the separation, set by the smallest scale, times a factor saying which times count. P10 allows a kernel; nothing derives this shape</t>
        </is>
      </c>
      <c r="E45" s="5" t="inlineStr">
        <is>
          <t>089</t>
        </is>
      </c>
      <c r="F45" s="6" t="inlineStr">
        <is>
          <t>the audit calls the form a postulate (§3.1). Which times count, past only or not, is argument 1 and argument 2 below</t>
        </is>
      </c>
      <c r="G45" s="5" t="inlineStr">
        <is>
          <t>A21</t>
        </is>
      </c>
    </row>
    <row r="46">
      <c r="A46" s="5" t="inlineStr">
        <is>
          <t>Condition</t>
        </is>
      </c>
      <c r="B46" s="5" t="inlineStr">
        <is>
          <t>22</t>
        </is>
      </c>
      <c r="C46" s="6" t="inlineStr">
        <is>
          <t>Space's shape changes gently</t>
        </is>
      </c>
      <c r="D46" s="6" t="inlineStr">
        <is>
          <t>it cannot change sharply over distances as small as one hop</t>
        </is>
      </c>
      <c r="E46" s="5" t="inlineStr">
        <is>
          <t>035 (C2)</t>
        </is>
      </c>
      <c r="F46" s="6" t="inlineStr">
        <is>
          <t>a postulate</t>
        </is>
      </c>
      <c r="G46" s="5" t="inlineStr">
        <is>
          <t>C22</t>
        </is>
      </c>
    </row>
    <row r="47">
      <c r="A47" s="5" t="inlineStr">
        <is>
          <t>Condition</t>
        </is>
      </c>
      <c r="B47" s="5" t="inlineStr">
        <is>
          <t>23</t>
        </is>
      </c>
      <c r="C47" s="6" t="inlineStr">
        <is>
          <t>Time stays different from space</t>
        </is>
      </c>
      <c r="D47" s="6" t="inlineStr">
        <is>
          <t>the emergent geometry always has one time direction and three space directions</t>
        </is>
      </c>
      <c r="E47" s="5" t="inlineStr">
        <is>
          <t>035 (C3)</t>
        </is>
      </c>
      <c r="F47" s="6" t="inlineStr">
        <is>
          <t>a postulate</t>
        </is>
      </c>
      <c r="G47" s="5" t="inlineStr">
        <is>
          <t>C23</t>
        </is>
      </c>
    </row>
    <row r="48">
      <c r="A48" s="5" t="inlineStr">
        <is>
          <t>Condition</t>
        </is>
      </c>
      <c r="B48" s="5" t="inlineStr">
        <is>
          <t>24</t>
        </is>
      </c>
      <c r="C48" s="6" t="inlineStr">
        <is>
          <t>No negative-energy waves</t>
        </is>
      </c>
      <c r="D48" s="6" t="inlineStr">
        <is>
          <t>any added kind of wave carries positive energy (no "ghosts")</t>
        </is>
      </c>
      <c r="E48" s="5" t="inlineStr">
        <is>
          <t>035 (C4)</t>
        </is>
      </c>
      <c r="F48" s="6" t="inlineStr">
        <is>
          <t>a postulate</t>
        </is>
      </c>
      <c r="G48" s="5" t="inlineStr">
        <is>
          <t>C24</t>
        </is>
      </c>
    </row>
    <row r="49">
      <c r="A49" s="5" t="inlineStr">
        <is>
          <t>Condition</t>
        </is>
      </c>
      <c r="B49" s="5" t="inlineStr">
        <is>
          <t>25</t>
        </is>
      </c>
      <c r="C49" s="6" t="inlineStr">
        <is>
          <t>Zoom out the right amount</t>
        </is>
      </c>
      <c r="D49" s="6" t="inlineStr">
        <is>
          <t>the blur is much bigger than the substrate's smallest scales and much smaller than the flow being described</t>
        </is>
      </c>
      <c r="E49" s="5" t="inlineStr">
        <is>
          <t>035 (C5)</t>
        </is>
      </c>
      <c r="F49" s="6" t="inlineStr">
        <is>
          <t>a postulate</t>
        </is>
      </c>
      <c r="G49" s="5" t="inlineStr">
        <is>
          <t>C25</t>
        </is>
      </c>
    </row>
    <row r="50">
      <c r="A50" s="5" t="inlineStr">
        <is>
          <t>Condition</t>
        </is>
      </c>
      <c r="B50" s="5" t="inlineStr">
        <is>
          <t>26</t>
        </is>
      </c>
      <c r="C50" s="6" t="inlineStr">
        <is>
          <t>Horizons behave</t>
        </is>
      </c>
      <c r="D50" s="6" t="inlineStr">
        <is>
          <t>where there is a horizon, the links between inside and outside die off there</t>
        </is>
      </c>
      <c r="E50" s="5" t="inlineStr">
        <is>
          <t>035 (C6), 039</t>
        </is>
      </c>
      <c r="F50" s="6" t="inlineStr">
        <is>
          <t>039 (May) takes the horizon's place from general relativity. GR-III (July) later showed the gravity rule builds a horizon by itself, with its size growing in step with the mass. The exact size, the 2 in 2GM/c², is still not pinned</t>
        </is>
      </c>
      <c r="G50" s="5" t="inlineStr">
        <is>
          <t>C26</t>
        </is>
      </c>
    </row>
    <row r="51">
      <c r="A51" s="5" t="inlineStr">
        <is>
          <t>Argument</t>
        </is>
      </c>
      <c r="B51" s="5" t="inlineStr">
        <is>
          <t>1</t>
        </is>
      </c>
      <c r="C51" s="6" t="inlineStr">
        <is>
          <t>P-T18-Kernel-Retardation</t>
        </is>
      </c>
      <c r="D51" s="6" t="inlineStr">
        <is>
          <t>every kernel looks only at the past</t>
        </is>
      </c>
      <c r="E51" s="5" t="inlineStr">
        <is>
          <t>093</t>
        </is>
      </c>
      <c r="F51" s="6" t="inlineStr">
        <is>
          <t>"formalizes the §7.1 conclusion"</t>
        </is>
      </c>
      <c r="G51" s="5" t="inlineStr">
        <is>
          <t>G1</t>
        </is>
      </c>
    </row>
    <row r="52">
      <c r="A52" s="5" t="inlineStr">
        <is>
          <t>Argument</t>
        </is>
      </c>
      <c r="B52" s="5" t="inlineStr">
        <is>
          <t>2</t>
        </is>
      </c>
      <c r="C52" s="6" t="inlineStr">
        <is>
          <t>P-NoBackwardChain</t>
        </is>
      </c>
      <c r="D52" s="6" t="inlineStr">
        <is>
          <t>no backward-in-time chain can be built from the primitives</t>
        </is>
      </c>
      <c r="E52" s="5" t="inlineStr">
        <is>
          <t>089</t>
        </is>
      </c>
      <c r="F52" s="6" t="inlineStr">
        <is>
          <t>argued "by inspection of the primitive list"; a rigorous proof is still owed</t>
        </is>
      </c>
      <c r="G52" s="5" t="inlineStr">
        <is>
          <t>G2</t>
        </is>
      </c>
    </row>
    <row r="53">
      <c r="A53" s="5" t="inlineStr">
        <is>
          <t>Argument</t>
        </is>
      </c>
      <c r="B53" s="5" t="inlineStr">
        <is>
          <t>3</t>
        </is>
      </c>
      <c r="C53" s="6" t="inlineStr">
        <is>
          <t>P-SubstrateLocality</t>
        </is>
      </c>
      <c r="D53" s="6" t="inlineStr">
        <is>
          <t>things only touch their near neighbours</t>
        </is>
      </c>
      <c r="E53" s="5" t="inlineStr">
        <is>
          <t>089</t>
        </is>
      </c>
      <c r="F53" s="6" t="inlineStr">
        <is>
          <t>"an implicit consequence of P03 + P08"; the paper calls that argument loose</t>
        </is>
      </c>
      <c r="G53" s="5" t="inlineStr">
        <is>
          <t>G3</t>
        </is>
      </c>
    </row>
    <row r="54">
      <c r="A54" s="5" t="inlineStr">
        <is>
          <t>Argument</t>
        </is>
      </c>
      <c r="B54" s="5" t="inlineStr">
        <is>
          <t>4</t>
        </is>
      </c>
      <c r="C54" s="6" t="inlineStr">
        <is>
          <t>P-Primitive-Forward-Causality</t>
        </is>
      </c>
      <c r="D54" s="6" t="inlineStr">
        <is>
          <t>no signal ever goes backward</t>
        </is>
      </c>
      <c r="E54" s="5" t="inlineStr">
        <is>
          <t>094</t>
        </is>
      </c>
      <c r="F54" s="6" t="inlineStr">
        <is>
          <t>stated as following from P04, P11 and kernel retardation</t>
        </is>
      </c>
      <c r="G54" s="5" t="inlineStr">
        <is>
          <t>G4</t>
        </is>
      </c>
    </row>
    <row r="55">
      <c r="A55" s="5" t="inlineStr">
        <is>
          <t>Definition</t>
        </is>
      </c>
      <c r="B55" s="5" t="inlineStr">
        <is>
          <t>1</t>
        </is>
      </c>
      <c r="C55" s="6" t="inlineStr">
        <is>
          <t>P-EDThreshold-Collapse</t>
        </is>
      </c>
      <c r="D55" s="6" t="inlineStr">
        <is>
          <t>a nickname for "a threshold, an irreversible commitment and a projector, acting together"</t>
        </is>
      </c>
      <c r="E55" s="5" t="inlineStr">
        <is>
          <t>005_5 ("a naming convenience, not a new postulate")</t>
        </is>
      </c>
      <c r="F55" s="6" t="inlineStr">
        <is>
          <t>not counted</t>
        </is>
      </c>
      <c r="G55" s="5" t="inlineStr">
        <is>
          <t>D1</t>
        </is>
      </c>
    </row>
    <row r="56">
      <c r="A56" s="5" t="inlineStr">
        <is>
          <t>Definition</t>
        </is>
      </c>
      <c r="B56" s="5" t="inlineStr">
        <is>
          <t>2</t>
        </is>
      </c>
      <c r="C56" s="6" t="inlineStr">
        <is>
          <t>P-Motif-Algebra</t>
        </is>
      </c>
      <c r="D56" s="6" t="inlineStr">
        <is>
          <t>amplitudes can be added and scaled like arrows (they form a complex vector space)</t>
        </is>
      </c>
      <c r="E56" s="5" t="inlineStr">
        <is>
          <t>007 ("definitional")</t>
        </is>
      </c>
      <c r="F56" s="6" t="inlineStr">
        <is>
          <t>not counted</t>
        </is>
      </c>
      <c r="G56" s="5" t="inlineStr">
        <is>
          <t>D2</t>
        </is>
      </c>
    </row>
    <row r="57">
      <c r="A57" s="5" t="inlineStr">
        <is>
          <t>Definition</t>
        </is>
      </c>
      <c r="B57" s="5" t="inlineStr">
        <is>
          <t>3</t>
        </is>
      </c>
      <c r="C57" s="6" t="inlineStr">
        <is>
          <t>P-Hierarchy-Indexing</t>
        </is>
      </c>
      <c r="D57" s="6" t="inlineStr">
        <is>
          <t>kernels are sorted by their size, their memory and their reach</t>
        </is>
      </c>
      <c r="E57" s="5" t="inlineStr">
        <is>
          <t>092 (a classification scheme)</t>
        </is>
      </c>
      <c r="F57" s="6" t="inlineStr">
        <is>
          <t>not counted</t>
        </is>
      </c>
      <c r="G57" s="5" t="inlineStr">
        <is>
          <t>D3</t>
        </is>
      </c>
    </row>
  </sheetData>
  <autoFilter ref="A1:G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0" customWidth="1" min="3" max="3"/>
    <col width="40" customWidth="1" min="4" max="4"/>
    <col width="9" customWidth="1" min="5" max="5"/>
    <col width="34" customWidth="1" min="6" max="6"/>
    <col width="26" customWidth="1" min="7" max="7"/>
    <col width="40" customWidth="1" min="8" max="8"/>
    <col width="70" customWidth="1" min="9" max="9"/>
    <col width="60" customWidth="1" min="10" max="10"/>
    <col width="50" customWidth="1" min="11" max="11"/>
    <col width="30" customWidth="1" min="12" max="12"/>
    <col width="12" customWidth="1" min="13" max="13"/>
  </cols>
  <sheetData>
    <row r="1" ht="28" customHeight="1">
      <c r="A1" s="4" t="inlineStr">
        <is>
          <t>Result</t>
        </is>
      </c>
      <c r="B1" s="4" t="inlineStr">
        <is>
          <t>Sector</t>
        </is>
      </c>
      <c r="C1" s="4" t="inlineStr">
        <is>
          <t>Claim</t>
        </is>
      </c>
      <c r="D1" s="4" t="inlineStr">
        <is>
          <t>Strength</t>
        </is>
      </c>
      <c r="E1" s="4" t="inlineStr">
        <is>
          <t>Ledger row</t>
        </is>
      </c>
      <c r="F1" s="4" t="inlineStr">
        <is>
          <t>Source paper</t>
        </is>
      </c>
      <c r="G1" s="4" t="inlineStr">
        <is>
          <t>Foundation items used</t>
        </is>
      </c>
      <c r="H1" s="4" t="inlineStr">
        <is>
          <t>Borrowed from standard physics</t>
        </is>
      </c>
      <c r="I1" s="4" t="inlineStr">
        <is>
          <t>What it leans on</t>
        </is>
      </c>
      <c r="J1" s="4" t="inlineStr">
        <is>
          <t>How it could be killed</t>
        </is>
      </c>
      <c r="K1" s="4" t="inlineStr">
        <is>
          <t>What it is not</t>
        </is>
      </c>
      <c r="L1" s="4" t="inlineStr">
        <is>
          <t>Paper</t>
        </is>
      </c>
      <c r="M1" s="4" t="inlineStr">
        <is>
          <t>On the gravity chain</t>
        </is>
      </c>
    </row>
    <row r="2">
      <c r="A2" s="6" t="inlineStr">
        <is>
          <t>The horizon as a decoupling surface</t>
        </is>
      </c>
      <c r="B2" s="5" t="inlineStr">
        <is>
          <t>black holes</t>
        </is>
      </c>
      <c r="C2" s="6" t="inlineStr">
        <is>
          <t>A black-hole horizon is the place where the links between inside and outside die off. The substrate stops carrying cross-chain content across it. This is a different kind of object from a geometric boundary, though the two sit in the same place.</t>
        </is>
      </c>
      <c r="D2" s="6" t="inlineStr">
        <is>
          <t>follows from the foundation, with the horizon's location borrowed.</t>
        </is>
      </c>
      <c r="E2" s="5" t="n">
        <v>28</v>
      </c>
      <c r="F2" s="6" t="inlineStr">
        <is>
          <t>Horizon as Decoupling Surface_Trans Planckian Resolution_Planck Mass Remnant</t>
        </is>
      </c>
      <c r="G2" s="6" t="inlineStr">
        <is>
          <t>P02, P04, P05, P07, P09, P10, P11, P12, axiom 14, axiom 21</t>
        </is>
      </c>
      <c r="H2" s="6" t="inlineStr">
        <is>
          <t>the horizon's location, r_H; the surface gravity κ</t>
        </is>
      </c>
      <c r="I2" s="6" t="inlineStr">
        <is>
          <t>The paper does not derive where the horizon sits. It takes that from general relativity and matches to it. | GR-III, written later, showed the gravity rule forms a horizon by itself, with its size growing in step with the mass. So part of what 039 borrows was later earned. The exact radius still is not pinned. | The identification of κ with the P12 gradient is a matching step, not a calculation.</t>
        </is>
      </c>
      <c r="J2" s="6" t="inlineStr">
        <is>
          <t>Detection of information-bearing Hawking radiation in a way inconsistent with V5 straddling the surface. Or analogue black-hole platforms producing Hawking-like radiation with no thermal (KMS) structure, which would break the mechanism rather than the location.</t>
        </is>
      </c>
      <c r="K2" s="6" t="inlineStr">
        <is>
          <t>Not a derivation of the horizon's position, its area, or its temperature. Those are separate results. This is the claim about what a horizon *is* in the substrate.</t>
        </is>
      </c>
      <c r="L2" s="5" t="inlineStr">
        <is>
          <t>BH_02_Horizon_Mechanism.md</t>
        </is>
      </c>
      <c r="M2" s="5" t="inlineStr"/>
    </row>
    <row r="3">
      <c r="A3" s="6" t="inlineStr">
        <is>
          <t>The Hawking temperature</t>
        </is>
      </c>
      <c r="B3" s="5" t="inlineStr">
        <is>
          <t>black holes</t>
        </is>
      </c>
      <c r="C3" s="6" t="inlineStr">
        <is>
          <t>Near a horizon, the substrate's own cross-chain correlations become periodic in imaginary time, which is what "being at a temperature" means. The temperature is T = κ/2π.</t>
        </is>
      </c>
      <c r="D3" s="6" t="inlineStr">
        <is>
          <t>follows from the foundation, with the surface gravity and one standard tool borrowed.</t>
        </is>
      </c>
      <c r="E3" s="5" t="n">
        <v>36</v>
      </c>
      <c r="F3" s="6" t="inlineStr">
        <is>
          <t>Hawking Spectrum</t>
        </is>
      </c>
      <c r="G3" s="6" t="inlineStr">
        <is>
          <t>P02, P04, P05, P07, P09, P10, P11, P12, axiom 14, axiom 21</t>
        </is>
      </c>
      <c r="H3" s="6" t="inlineStr">
        <is>
          <t>the imaginary-time (Euclidean) route to the 2π</t>
        </is>
      </c>
      <c r="I3" s="6" t="inlineStr">
        <is>
          <t>ED's contribution here is that the *correlators* carry the periodicity, rather than matter fields on a fixed background. The 2π itself comes through the standard bridge. | The paper's separate prediction of a non-thermal correction of size (ω/ω_c)² rests on an extra assumption, P-V5-Even, that the kernel's envelope is symmetric in frequency. That assumption is not on the foundation page. It belongs to this paper only, and the temperature result does not need it.</t>
        </is>
      </c>
      <c r="J3" s="6" t="inlineStr">
        <is>
          <t>A substrate-level analysis showing the V5 correlators do not become periodic in imaginary time near the surface would take the temperature with it. The separate correction prediction dies if analogue experiments find a linear rather than quadratic deviation from thermal, or an enhancement rather than a suppression.</t>
        </is>
      </c>
      <c r="K3" s="6" t="inlineStr">
        <is>
          <t>Not a standalone derivation of the Hawking formula. The formula is standard; what ED supplies is a substrate object that satisfies it.</t>
        </is>
      </c>
      <c r="L3" s="5" t="inlineStr">
        <is>
          <t>BH_03_Hawking_Temperature.md</t>
        </is>
      </c>
      <c r="M3" s="5" t="inlineStr"/>
    </row>
    <row r="4">
      <c r="A4" s="6" t="inlineStr">
        <is>
          <t>Black-hole entropy: the coefficient 1/4</t>
        </is>
      </c>
      <c r="B4" s="5" t="inlineStr">
        <is>
          <t>black holes</t>
        </is>
      </c>
      <c r="C4" s="6" t="inlineStr">
        <is>
          <t>A black hole's entropy is a quarter of its horizon area in Planck units, S = A/4. ED produces the 1/4, not just the area law.</t>
        </is>
      </c>
      <c r="D4" s="6" t="inlineStr">
        <is>
          <t>follows from the foundation, with two borrowed tools.</t>
        </is>
      </c>
      <c r="E4" s="5" t="n">
        <v>41</v>
      </c>
      <c r="F4" s="6" t="inlineStr">
        <is>
          <t>Thermal 2Pi_Entropy Coefficient</t>
        </is>
      </c>
      <c r="G4" s="6" t="inlineStr">
        <is>
          <t>—</t>
        </is>
      </c>
      <c r="H4" s="6" t="inlineStr">
        <is>
          <t>Euclidean continuation (turning time imaginary); the smoothness condition (no conical defect)</t>
        </is>
      </c>
      <c r="I4" s="6" t="inlineStr">
        <is>
          <t>The horizon shape comes from GR-III, whose lapse comes from GR-I. GR-III closes GR-I's α = 1 assumption only modulo a band-accounting premise. If that premise fails, this result falls with the rest of the gravity block. | The exact horizon radius, the 2 in 2GM/c², is not pinned. The simulations show a horizon forms and its size grows in step with the mass, which is all this derivation needs. | The 2π is obtained with a reversible-time device in a theory whose defining primitive is an irreversible arrow. The paper flags a substrate-native, continuation-free route as the genuine open frontier (§4b).</t>
        </is>
      </c>
      <c r="J4" s="6" t="inlineStr">
        <is>
          <t>A demonstration that the rule's strong-coupling behaviour does not form a finite-radius horizon, or that the near-horizon geometry is not Rindler, would take the 1/4 with it. (GR-III §11.4; Thermal2Pi §2, which reports the numerical check b/(κρ)² → 1.)</t>
        </is>
      </c>
      <c r="K4" s="6" t="inlineStr">
        <is>
          <t>Not a derivation of the horizon's location from the substrate. Not a continuation-free derivation of the 2π. Not a claim to have gone beyond general relativity here: ED reads the 2π off the same near-horizon geometry GR does, and its addition is that the geometry itself is derived from the bandwidth rule rather than assumed.</t>
        </is>
      </c>
      <c r="L4" s="5" t="inlineStr">
        <is>
          <t>BH_01_Entropy_Coefficient.md</t>
        </is>
      </c>
      <c r="M4" s="5" t="inlineStr">
        <is>
          <t>yes</t>
        </is>
      </c>
    </row>
    <row r="5">
      <c r="A5" s="6" t="inlineStr">
        <is>
          <t>Primordial gravitational waves and today's are one mechanism</t>
        </is>
      </c>
      <c r="B5" s="5" t="inlineStr">
        <is>
          <t>cosmology</t>
        </is>
      </c>
      <c r="C5" s="6" t="inlineStr">
        <is>
          <t>The gravitational waves left over from the early universe and the gravitational waves we detect today come from the same substrate process: fluctuations in the shape of the stability landscape. They are not two mechanisms that happen to look alike.</t>
        </is>
      </c>
      <c r="D5" s="6" t="inlineStr">
        <is>
          <t>follows from the foundation, but its upstream has never been audited.</t>
        </is>
      </c>
      <c r="E5" s="5" t="n">
        <v>44</v>
      </c>
      <c r="F5" s="6" t="inlineStr">
        <is>
          <t>Inflationary Spectrum</t>
        </is>
      </c>
      <c r="G5" s="6" t="inlineStr">
        <is>
          <t>P02, P03, P09, P10, P11, P12, P13, axiom 11</t>
        </is>
      </c>
      <c r="H5" s="6" t="inlineStr">
        <is>
          <t>the slow-roll consistency relation n_T = −r/8; the whole numerical spectrum (n_s, A_s, r)</t>
        </is>
      </c>
      <c r="I5" s="6" t="inlineStr">
        <is>
          <t>This is the weakest of the sixteen. The identification composes three upstream papers that are carried at M3 and have never been audited against the corpus: the saddle-classification paper, the gravitational-wave framework paper, and the saturation-regime paper. | Everything numerical is inherited. ED supplies no value here. | Until those three are read, this result should be quoted with that caveat attached.</t>
        </is>
      </c>
      <c r="J5" s="6" t="inlineStr">
        <is>
          <t>A measured tensor-to-scalar ratio and inflation scale that cannot be reconciled with the substrate scaling. A significant violation of n_T = −r/8 would break the inherited half. Non-Gaussianity inconsistent with the fluctuation framework would break the ED half.</t>
        </is>
      </c>
      <c r="K5" s="6" t="inlineStr">
        <is>
          <t>Not a prediction of the primordial spectrum, and not a derivation of inflation. It is a claim that two things already described are the same thing.</t>
        </is>
      </c>
      <c r="L5" s="5" t="inlineStr">
        <is>
          <t>COS_01_Primordial_Tensor_Modes.md</t>
        </is>
      </c>
      <c r="M5" s="5" t="inlineStr"/>
    </row>
    <row r="6">
      <c r="A6" s="6" t="inlineStr">
        <is>
          <t>Matter moves on geodesics</t>
        </is>
      </c>
      <c r="B6" s="5" t="inlineStr">
        <is>
          <t>gravity</t>
        </is>
      </c>
      <c r="C6" s="6" t="inlineStr">
        <is>
          <t>In ED, "matter is conserved" and "matter falls along the straightest available path" are the same statement. Free fall is not an extra law; it follows from the bookkeeping.</t>
        </is>
      </c>
      <c r="D6" s="6" t="inlineStr">
        <is>
          <t>follows from the foundation, on top of ED's emergent metric.</t>
        </is>
      </c>
      <c r="E6" s="5" t="n">
        <v>66</v>
      </c>
      <c r="F6" s="6" t="inlineStr">
        <is>
          <t>GR-II_ED Gravity is Khronometric Class</t>
        </is>
      </c>
      <c r="G6" s="6" t="inlineStr">
        <is>
          <t>P04, P05</t>
        </is>
      </c>
      <c r="H6" s="6" t="inlineStr">
        <is>
          <t>none</t>
        </is>
      </c>
      <c r="I6" s="6" t="inlineStr">
        <is>
          <t>Exact for dust. Pressure and anisotropic stress need the full dynamical rule, which this paper does not supply. | The metric it runs on comes from GR-I, whose lapse rests on a premise GR-III closes only modulo a band-accounting argument. Every gravity result here shares that exposure.</t>
        </is>
      </c>
      <c r="J6" s="6" t="inlineStr">
        <is>
          <t>A demonstration that the substrate's bandwidth current is not the conserved flux this identification requires, or that its divergence for dust does not reduce to the geodesic condition, would remove the result. Empirically, any violation of the equivalence principle at leading order for pressureless matter.</t>
        </is>
      </c>
      <c r="K6" s="6" t="inlineStr">
        <is>
          <t>Not a derivation of the full Einstein equations, and not a statement about matter with pressure.</t>
        </is>
      </c>
      <c r="L6" s="5" t="inlineStr">
        <is>
          <t>GRAV_01_Geodesic_Motion.md</t>
        </is>
      </c>
      <c r="M6" s="5" t="inlineStr">
        <is>
          <t>yes</t>
        </is>
      </c>
    </row>
    <row r="7">
      <c r="A7" s="6" t="inlineStr">
        <is>
          <t>ED's gravity is khronometric</t>
        </is>
      </c>
      <c r="B7" s="5" t="inlineStr">
        <is>
          <t>gravity</t>
        </is>
      </c>
      <c r="C7" s="6" t="inlineStr">
        <is>
          <t>ED's gravity is not quite general relativity. It carries Einstein's two gravitational-wave modes plus one extra scalar, because the arrow of time is written into the law itself and picks out a preferred slicing of time.</t>
        </is>
      </c>
      <c r="D7" s="6" t="inlineStr">
        <is>
          <t>follows from the foundation, as a structural count rather than a full computation.</t>
        </is>
      </c>
      <c r="E7" s="5" t="n">
        <v>67</v>
      </c>
      <c r="F7" s="6" t="inlineStr">
        <is>
          <t>GR-II_ED Gravity is Khronometric Class</t>
        </is>
      </c>
      <c r="G7" s="6" t="inlineStr">
        <is>
          <t>P11, P13, P02</t>
        </is>
      </c>
      <c r="H7" s="6" t="inlineStr">
        <is>
          <t>none</t>
        </is>
      </c>
      <c r="I7" s="6" t="inlineStr">
        <is>
          <t>The paper calls this structural, and says so plainly: it is an argument from the symmetry group, not a completed linearized calculation of the modes. | It is an infrared statement only. ED does not inherit the ultraviolet behaviour of other theories in this class. | The extra scalar's parameters are not computed in this paper.</t>
        </is>
      </c>
      <c r="J7" s="6" t="inlineStr">
        <is>
          <t>A linearization of the dynamical rule that yields a different mode count, an extra vector mode for instance, would break the identification. So would the definite absence of any scalar gravitational-wave polarization at a sensitivity that excludes this mode, since the class requires one.</t>
        </is>
      </c>
      <c r="K7" s="6" t="inlineStr">
        <is>
          <t>Not a claim that ED is general relativity, and not a claim that it is a specific published alternative. It is a statement about which class the theory lands in, and why.</t>
        </is>
      </c>
      <c r="L7" s="5" t="inlineStr">
        <is>
          <t>GRAV_02_Khronometric_Class.md</t>
        </is>
      </c>
      <c r="M7" s="5" t="inlineStr">
        <is>
          <t>yes</t>
        </is>
      </c>
    </row>
    <row r="8">
      <c r="A8" s="6" t="inlineStr">
        <is>
          <t>Gravitational waves travel at the speed of light</t>
        </is>
      </c>
      <c r="B8" s="5" t="inlineStr">
        <is>
          <t>gravity</t>
        </is>
      </c>
      <c r="C8" s="6" t="inlineStr">
        <is>
          <t>Gravitational waves and light share one speed, because they share one substrate and one transport. The 2017 neutron-star observation, which killed a long list of gravity theories, is an identity in ED rather than a constraint it has to satisfy.</t>
        </is>
      </c>
      <c r="D8" s="6" t="inlineStr">
        <is>
          <t>follows from the foundation, independent of the unbuilt parts of the rule.</t>
        </is>
      </c>
      <c r="E8" s="5" t="n">
        <v>68</v>
      </c>
      <c r="F8" s="6" t="inlineStr">
        <is>
          <t>GR-II_ED Gravity is Khronometric Class</t>
        </is>
      </c>
      <c r="G8" s="6" t="inlineStr">
        <is>
          <t>P05, axiom 21</t>
        </is>
      </c>
      <c r="H8" s="6" t="inlineStr">
        <is>
          <t>none</t>
        </is>
      </c>
      <c r="I8" s="6" t="inlineStr">
        <is>
          <t>This does not depend on the unbuilt coefficients of the dynamical rule. The paper marks it independent of that residual, which makes it one of the sturdier gravity results. | It still sits on GR-I's metric, so it shares the gravity block's exposure to the band-accounting premise.</t>
        </is>
      </c>
      <c r="J8" s="6" t="inlineStr">
        <is>
          <t>A measured difference between the tensor gravitational-wave speed and the speed of light beyond observational bounds. Or observation of Lorentz violation that differs between matter species at leading order, which would break the single-cone structure.</t>
        </is>
      </c>
      <c r="K8" s="6" t="inlineStr">
        <is>
          <t>Not a new prediction. The observation is already in hand. The claim is that ED gets it for structural reasons rather than by choosing a parameter.</t>
        </is>
      </c>
      <c r="L8" s="5" t="inlineStr">
        <is>
          <t>GRAV_03_Gravity_Waves_At_c.md</t>
        </is>
      </c>
      <c r="M8" s="5" t="inlineStr">
        <is>
          <t>yes</t>
        </is>
      </c>
    </row>
    <row r="9">
      <c r="A9" s="6" t="inlineStr">
        <is>
          <t>The extra gravitational mode also travels at c</t>
        </is>
      </c>
      <c r="B9" s="5" t="inlineStr">
        <is>
          <t>gravity</t>
        </is>
      </c>
      <c r="C9" s="6" t="inlineStr">
        <is>
          <t>The extra scalar mode that ED's gravity carries moves at the speed of light, not at some other speed. Generic theories in this class allow a second, different cone. ED does not.</t>
        </is>
      </c>
      <c r="D9" s="6" t="inlineStr">
        <is>
          <t>follows from the foundation, at leading order.</t>
        </is>
      </c>
      <c r="E9" s="5" t="n">
        <v>70</v>
      </c>
      <c r="F9" s="6" t="inlineStr">
        <is>
          <t>GR-III_Dynamical Rule</t>
        </is>
      </c>
      <c r="G9" s="6" t="inlineStr">
        <is>
          <t>P11, P04, P02, P13</t>
        </is>
      </c>
      <c r="H9" s="6" t="inlineStr">
        <is>
          <t>none</t>
        </is>
      </c>
      <c r="I9" s="6" t="inlineStr">
        <is>
          <t>Leading order only. GR-III says integrating out the dissipative reserve could shift the speed by a small amount, and does not compute how much. GR-IV files that as an open number, ε′, and notes it is one calculation, not two. | Shares the gravity block's dependence on the band-accounting premise.</t>
        </is>
      </c>
      <c r="J9" s="6" t="inlineStr">
        <is>
          <t>A scalar gravitational-wave polarization detected at a speed measurably different from light. Or a computation showing the reserve sector does supply a genuine kinetic term after all, which would restore a second cone.</t>
        </is>
      </c>
      <c r="K9" s="6" t="inlineStr">
        <is>
          <t>Not a claim about the size of the scalar mode or how easily it could be seen. The claim is only about its speed, and only at leading order.</t>
        </is>
      </c>
      <c r="L9" s="5" t="inlineStr">
        <is>
          <t>GRAV_04_Khronon_Speed.md</t>
        </is>
      </c>
      <c r="M9" s="5" t="inlineStr">
        <is>
          <t>yes</t>
        </is>
      </c>
    </row>
    <row r="10">
      <c r="A10" s="6" t="inlineStr">
        <is>
          <t>The tightest preferred-frame test is passed exactly</t>
        </is>
      </c>
      <c r="B10" s="5" t="inlineStr">
        <is>
          <t>gravity</t>
        </is>
      </c>
      <c r="C10" s="6" t="inlineStr">
        <is>
          <t>Theories with a preferred frame are usually killed by two numbers, α₁ and α₂, measured in the solar system and in pulsars. In ED, α₂ is exactly zero, for the same reason its two gravitational cones are both luminal.</t>
        </is>
      </c>
      <c r="D10" s="6" t="inlineStr">
        <is>
          <t>follows from the foundation, at exactly the standing of the khronon-speed result.</t>
        </is>
      </c>
      <c r="E10" s="5" t="n">
        <v>71</v>
      </c>
      <c r="F10" s="6" t="inlineStr">
        <is>
          <t>GR-IV_Preferred Frame Safety_Quantum Coherence</t>
        </is>
      </c>
      <c r="G10" s="6" t="inlineStr">
        <is>
          <t>none directly</t>
        </is>
      </c>
      <c r="H10" s="6" t="inlineStr">
        <is>
          <t>the published preferred-frame formulas for this class of theory</t>
        </is>
      </c>
      <c r="I10" s="6" t="inlineStr">
        <is>
          <t>The paper flags this itself: the α₂ numerator and the luminal condition are one equation, not two facts. So α₂ = 0 carries exactly the standing of the khronon speed result and no more. | That standing is leading order. The uncomputed ε′ sets the size of any residual α₂. | A measured α₂ that is small and at the scale of ε′ would support this construction rather than break it. General relativity predicts exactly zero; ED predicts something of order ε′.</t>
        </is>
      </c>
      <c r="J10" s="6" t="inlineStr">
        <is>
          <t>A measured α₂ large compared with the renormalization scale. A measured α₁ at or above about 10⁻⁵ in any environment would break the companion suppression argument.</t>
        </is>
      </c>
      <c r="K10" s="6" t="inlineStr">
        <is>
          <t>Not an independent second success. It is the same causal-cone fact as the gravitational-wave speed, seen from another direction, and the paper says so.</t>
        </is>
      </c>
      <c r="L10" s="5" t="inlineStr">
        <is>
          <t>GRAV_05_Alpha2_Zero.md</t>
        </is>
      </c>
      <c r="M10" s="5" t="inlineStr">
        <is>
          <t>yes</t>
        </is>
      </c>
    </row>
    <row r="11">
      <c r="A11" s="6" t="inlineStr">
        <is>
          <t>Where the gauge groups come from</t>
        </is>
      </c>
      <c r="B11" s="5" t="inlineStr">
        <is>
          <t>quantum field theory</t>
        </is>
      </c>
      <c r="C11" s="6" t="inlineStr">
        <is>
          <t>The structure group of a family of N indistinguishable channels is U(N), which is (SU(N) × U(1))/Z_N. Non-abelian gauge structure is not put in by hand; it is what having more than one channel means.</t>
        </is>
      </c>
      <c r="D11" s="6" t="inlineStr">
        <is>
          <t>follows from the foundation, with one step in the paper left unnamed.</t>
        </is>
      </c>
      <c r="E11" s="5" t="n">
        <v>84</v>
      </c>
      <c r="F11" s="6" t="inlineStr">
        <is>
          <t>MatterSector_Gauge_Spin_Chirality_3D</t>
        </is>
      </c>
      <c r="G11" s="6" t="inlineStr">
        <is>
          <t>P04, P07, P09, axiom 14, axiom 21, definition 2</t>
        </is>
      </c>
      <c r="H11" s="6" t="inlineStr">
        <is>
          <t>the Standard Model's own multiplicities {1, 2, 3}; the coupling strengths</t>
        </is>
      </c>
      <c r="I11" s="6" t="inlineStr">
        <is>
          <t>One step in the paper is not named as an assumption. "Invertibility between commitments" is what turns an isometry into a unitary. It is not one of the thirteen primitives, and given that the arrow makes commitment itself irreversible, it deserves a line of its own rather than a clause. | The paper as written said U(N) = SU(N) × U(1), which is not right as a group identity. Corrected to the quotient form on 2026-09-11. | The paper cited P08 for channel multiplicity, where the canonical primitive list puts channel structure at P07. Corrected the same day.</t>
        </is>
      </c>
      <c r="J11" s="6" t="inlineStr">
        <is>
          <t>A stable fundamental gauge sector with N of 4 or more, since ED's stable families run to three. A parity-violating abelian force, since ED's abelian coupling is blind to handedness.</t>
        </is>
      </c>
      <c r="K11" s="6" t="inlineStr">
        <is>
          <t>Not a derivation of the Standard Model's gauge group. It says where groups of this shape come from, not which ones nature picked.</t>
        </is>
      </c>
      <c r="L11" s="5" t="inlineStr">
        <is>
          <t>QFT_01_Gauge_Group.md</t>
        </is>
      </c>
      <c r="M11" s="5" t="inlineStr"/>
    </row>
    <row r="12">
      <c r="A12" s="6" t="inlineStr">
        <is>
          <t>Why kinetic energy has a 1/2 in it</t>
        </is>
      </c>
      <c r="B12" s="5" t="inlineStr">
        <is>
          <t>quantum kinematics</t>
        </is>
      </c>
      <c r="C12" s="6" t="inlineStr">
        <is>
          <t>Under a change of velocity, the substrate's position-type content stays put while its motion-type content transforms. That asymmetry is what puts the factor of one half into kinetic energy.</t>
        </is>
      </c>
      <c r="D12" s="6" t="inlineStr">
        <is>
          <t>follows from the foundation, on top of the emergent metric.</t>
        </is>
      </c>
      <c r="E12" s="5" t="n">
        <v>89</v>
      </c>
      <c r="F12" s="6" t="inlineStr">
        <is>
          <t>Adjacency-Bandwidth Asymmetry from Spatial Homogeneity</t>
        </is>
      </c>
      <c r="G12" s="6" t="inlineStr">
        <is>
          <t>P03, P05, P04, P10, conditions 22 to 26</t>
        </is>
      </c>
      <c r="H12" s="6" t="inlineStr">
        <is>
          <t>standard Galilean transformation theory; the relativistic starting point and the mass m</t>
        </is>
      </c>
      <c r="I12" s="6" t="inlineStr">
        <is>
          <t>The paper is explicit that the full Galilean group structure is open. The primitive it uses is necessary for the asymmetry, not sufficient for the whole group. | The paper corrected its own sourcing in September 2026: it had credited bandwidth with supplying the propagation sector, when bandwidth carries amount and transport carries rate.</t>
        </is>
      </c>
      <c r="J12" s="6" t="inlineStr">
        <is>
          <t>Detection of non-relativistic kinetic energy with a coefficient other than 1/2m. Substrate evidence that adjacency content does transform under a boost, or that propagation content does not.</t>
        </is>
      </c>
      <c r="K12" s="6" t="inlineStr">
        <is>
          <t>Not a derivation of the Galilean group, and not a derivation of mass.</t>
        </is>
      </c>
      <c r="L12" s="5" t="inlineStr">
        <is>
          <t>QM_01_Galilean_Asymmetry.md</t>
        </is>
      </c>
      <c r="M12" s="5" t="inlineStr"/>
    </row>
    <row r="13">
      <c r="A13" s="6" t="inlineStr">
        <is>
          <t>The spinor frame is unique</t>
        </is>
      </c>
      <c r="B13" s="5" t="inlineStr">
        <is>
          <t>relativistic quantum mechanics</t>
        </is>
      </c>
      <c r="C13" s="6" t="inlineStr">
        <is>
          <t>In 3+1 dimensions there is exactly one four-component spinor structure, up to a change of basis. Every way of writing the gamma matrices (Dirac, Weyl, Majorana) is the same object in different clothes, so nothing physical depends on which one is used.</t>
        </is>
      </c>
      <c r="D13" s="6" t="inlineStr">
        <is>
          <t>follows from the foundation, using standard algebra.</t>
        </is>
      </c>
      <c r="E13" s="5" t="n">
        <v>90</v>
      </c>
      <c r="F13" s="6" t="inlineStr">
        <is>
          <t>Frame Uniqueness_Clifford 3_1</t>
        </is>
      </c>
      <c r="G13" s="6" t="inlineStr">
        <is>
          <t>P06, P03, P05, P09, P10, condition 23</t>
        </is>
      </c>
      <c r="H13" s="6" t="inlineStr">
        <is>
          <t>Clifford algebra, Pauli's theorem on gamma matrices, Schur's lemma</t>
        </is>
      </c>
      <c r="I13" s="6" t="inlineStr">
        <is>
          <t>The signature arrives through the emergent metric rather than straight from the primitives, so this result inherits that machinery and its conditions. | The heavy lifting is standard mathematics. ED's content is that its own structure lands in this algebra at all.</t>
        </is>
      </c>
      <c r="J13" s="6" t="inlineStr">
        <is>
          <t>Evidence that the algebra admits inequivalent four-dimensional irreducible representations, which would contradict Pauli's theorem. Detection of spinor content in 3+1 dimensions that is not four-component. Evidence that the substrate permits a dimension other than 3+1.</t>
        </is>
      </c>
      <c r="K13" s="6" t="inlineStr">
        <is>
          <t>Not a derivation of the Dirac equation, and not a claim that any particular basis is preferred.</t>
        </is>
      </c>
      <c r="L13" s="5" t="inlineStr">
        <is>
          <t>RQM_01_Spinor_Frame.md</t>
        </is>
      </c>
      <c r="M13" s="5" t="inlineStr"/>
    </row>
    <row r="14">
      <c r="A14" s="6" t="inlineStr">
        <is>
          <t>No anyons in three dimensions</t>
        </is>
      </c>
      <c r="B14" s="5" t="inlineStr">
        <is>
          <t>relativistic quantum mechanics</t>
        </is>
      </c>
      <c r="C14" s="6" t="inlineStr">
        <is>
          <t>In three-dimensional space, swapping two identical things can only give a plus or a minus sign. Bosons and fermions exhaust the options. Anything in between needs two dimensions.</t>
        </is>
      </c>
      <c r="D14" s="6" t="inlineStr">
        <is>
          <t>follows from the foundation, using standard topology. This is the cleanest of the sixteen.</t>
        </is>
      </c>
      <c r="E14" s="5" t="n">
        <v>91</v>
      </c>
      <c r="F14" s="6" t="inlineStr">
        <is>
          <t>Anyon Prohibition in 3_1D</t>
        </is>
      </c>
      <c r="G14" s="6" t="inlineStr">
        <is>
          <t>P06, P10, P03</t>
        </is>
      </c>
      <c r="H14" s="6" t="inlineStr">
        <is>
          <t>the topology of configuration spaces, and braid-group representation theory</t>
        </is>
      </c>
      <c r="I14" s="6" t="inlineStr">
        <is>
          <t>Nothing beyond the three primitives and the standard mathematics. No paper-specific assumption, no borrowed value, no simulation. | The anyons seen in laboratory fractional quantum Hall systems are effectively two-dimensional. The paper treats them as consistent with this, not as a counterexample.</t>
        </is>
      </c>
      <c r="J14" s="6" t="inlineStr">
        <is>
          <t>Detection of genuinely three-dimensional anyonic statistics, in the bulk rather than on a surface. Evidence that the substrate permits two spatial dimensions. Or a flaw in the standard topology result itself.</t>
        </is>
      </c>
      <c r="K14" s="6" t="inlineStr">
        <is>
          <t>Not a new prediction: physics has held this since 1977. It is a demonstration that ED reproduces it from its own starting point rather than assuming it.</t>
        </is>
      </c>
      <c r="L14" s="5" t="inlineStr">
        <is>
          <t>RQM_02_No_Anyons.md</t>
        </is>
      </c>
      <c r="M14" s="5" t="inlineStr"/>
    </row>
    <row r="15">
      <c r="A15" s="6" t="inlineStr">
        <is>
          <t>Charge as a winding number</t>
        </is>
      </c>
      <c r="B15" s="5" t="inlineStr">
        <is>
          <t>substrate tests</t>
        </is>
      </c>
      <c r="C15" s="6" t="inlineStr">
        <is>
          <t>The substrate carries an integer that cannot change: how many times the polarity angle winds around a closed loop. It is exactly quantized, it is conserved, and the arrow is what protects it. That integer is the skeleton of electric charge.</t>
        </is>
      </c>
      <c r="D15" s="6" t="inlineStr">
        <is>
          <t>follows from the foundation, with the field itself still missing.</t>
        </is>
      </c>
      <c r="E15" s="5" t="n">
        <v>93</v>
      </c>
      <c r="F15" s="6" t="inlineStr">
        <is>
          <t>Charge As Topology_Winding_Integral Gauss Law</t>
        </is>
      </c>
      <c r="G15" s="6" t="inlineStr">
        <is>
          <t>P09, P05, P11, P04</t>
        </is>
      </c>
      <c r="H15" s="6" t="inlineStr">
        <is>
          <t>that a circle's loops are counted by the integers</t>
        </is>
      </c>
      <c r="I15" s="6" t="inlineStr">
        <is>
          <t>The field is withheld. At the discrete layer ED gets the integral Gauss law but not a determined local inverse-square field. The paper's own fork says you can have that field only by giving up either orientation-blindness or the arrow, which means leaving ED. | The winding is inert: it couples weakly and does not drive the stability landscape. | The quantization and the loop-independence were confirmed in the certified simulator to machine precision. The argument is structural; the simulation checks it. | The paper is strict that no charge spectrum was fitted. Reproducing the familiar ±1 and ∓⅓ pattern by fitting a topology to those values would violate its own discipline, and is not claimed.</t>
        </is>
      </c>
      <c r="J15" s="6" t="inlineStr">
        <is>
          <t>A demonstration that the committed holonomy is not quantized to integers, or that the winding can change without an uncommitting. A measurement showing the circulation is not loop-independent. Or a determined local inverse-square field produced while keeping both orientation-blindness and the arrow.</t>
        </is>
      </c>
      <c r="K15" s="6" t="inlineStr">
        <is>
          <t>Not a derivation of electric charge, its spectrum, or Coulomb's law. It is the skeleton: an exact, protected, conserved integer of the right shape.</t>
        </is>
      </c>
      <c r="L15" s="5" t="inlineStr">
        <is>
          <t>SUB_01_Charge_As_Winding.md</t>
        </is>
      </c>
      <c r="M15" s="5" t="inlineStr"/>
    </row>
    <row r="16">
      <c r="A16" s="6" t="inlineStr">
        <is>
          <t>If the world is left-handed, it chose to be</t>
        </is>
      </c>
      <c r="B16" s="5" t="inlineStr">
        <is>
          <t>substrate tests</t>
        </is>
      </c>
      <c r="C16" s="6" t="inlineStr">
        <is>
          <t>A substrate whose rules do not favour a handedness cannot produce a handed transport, for any number of channels. So the handedness of the weak force cannot be written into ED's law. It has to be a broken symmetry: a choice the universe made, not a rule it follows.</t>
        </is>
      </c>
      <c r="D16" s="6" t="inlineStr">
        <is>
          <t>follows from the foundation, at the transport level only.</t>
        </is>
      </c>
      <c r="E16" s="5" t="n">
        <v>94</v>
      </c>
      <c r="F16" s="6" t="inlineStr">
        <is>
          <t>Clean Substrate Vector_Parity Spontaneous</t>
        </is>
      </c>
      <c r="G16" s="6" t="inlineStr">
        <is>
          <t>P09, P11, —</t>
        </is>
      </c>
      <c r="H16" s="6" t="inlineStr">
        <is>
          <t>representation theory, for which channel-count is chiral in the Standard Model</t>
        </is>
      </c>
      <c r="I16" s="6" t="inlineStr">
        <is>
          <t>Transport level only. The step from substrate transport down to a genuine Dirac sector is open, and the paper says so. Everything here is contingent on that descent. | Which channel-count ends up chiral is inherited from representation theory, not produced by ED. The pattern in the Standard Model matches no transport winding. | The anomaly-freedom corollary rides on the same open descent.</t>
        </is>
      </c>
      <c r="J16" s="6" t="inlineStr">
        <is>
          <t>A parity-clean commitment map shown to carry a nonzero winding for some channel-count, which would be a chiral coupling without breaking the symmetry. A construction that fixes which channel-count is chiral from ED's own dynamics, which would overturn the "inherited casting" verdict. Evidence that handedness is a fixed law-level property rather than a contingent choice.</t>
        </is>
      </c>
      <c r="K16" s="6" t="inlineStr">
        <is>
          <t>Not a derivation of the weak force's handedness, and not a derivation of the Standard Model's matter content.</t>
        </is>
      </c>
      <c r="L16" s="5" t="inlineStr">
        <is>
          <t>SUB_02_Parity_Is_Spontaneous.md</t>
        </is>
      </c>
      <c r="M16" s="5" t="inlineStr"/>
    </row>
    <row r="17">
      <c r="A17" s="6" t="inlineStr">
        <is>
          <t>Four kinds of horizon, one law</t>
        </is>
      </c>
      <c r="B17" s="5" t="inlineStr">
        <is>
          <t>black holes</t>
        </is>
      </c>
      <c r="C17" s="6" t="inlineStr">
        <is>
          <t>Black-hole horizons, acceleration horizons, the cosmological horizon and acoustic horizons in fluids are the same substrate object seen four ways: a surface where cross-chain content saturates and stops. They all carry T = κ/2π for that reason.</t>
        </is>
      </c>
      <c r="D17" s="6" t="inlineStr">
        <is>
          <t>follows from the foundation, with all four temperatures borrowed.</t>
        </is>
      </c>
      <c r="E17" s="5" t="n">
        <v>320</v>
      </c>
      <c r="F17" s="6" t="inlineStr">
        <is>
          <t>BH_Rindler_Cosmological_Acoustic Horizons as One Substrate Object</t>
        </is>
      </c>
      <c r="G17" s="6" t="inlineStr">
        <is>
          <t>P10, P11, P13, axiom 1, axiom 14, conditions 22 to 26</t>
        </is>
      </c>
      <c r="H17" s="6" t="inlineStr">
        <is>
          <t>the Unruh effect and the standard temperature formula for any Killing horizon; the per-type surface gravities</t>
        </is>
      </c>
      <c r="I17" s="6" t="inlineStr">
        <is>
          <t>ED's own content is the identification, not the formula. Everything numerical is standard. | The paper carries this as M3, a structural identification, not a derivation. | Two of the four cases (cosmological, acoustic) arrive through further inheritance chains rather than direct substrate construction.</t>
        </is>
      </c>
      <c r="J17" s="6" t="inlineStr">
        <is>
          <t>A horizon-class object that does not show the universal thermal spectrum. Or substrate evidence that cross-chain saturation does not occur at one of the four. A fifth horizon class would extend the picture rather than break it.</t>
        </is>
      </c>
      <c r="K17" s="6" t="inlineStr">
        <is>
          <t>Not a derivation of the Hawking-Unruh formula, and not a prediction of any of the four temperatures.</t>
        </is>
      </c>
      <c r="L17" s="5" t="inlineStr">
        <is>
          <t>BH_04_One_Horizon_Law.md</t>
        </is>
      </c>
      <c r="M17" s="5" t="inlineStr"/>
    </row>
  </sheetData>
  <autoFilter ref="A1:M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2"/>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0" customWidth="1" min="3" max="3"/>
    <col width="12" customWidth="1" min="4" max="4"/>
    <col width="44" customWidth="1" min="5" max="5"/>
    <col width="60" customWidth="1" min="6" max="6"/>
  </cols>
  <sheetData>
    <row r="1" ht="28" customHeight="1">
      <c r="A1" s="4" t="inlineStr">
        <is>
          <t>Result</t>
        </is>
      </c>
      <c r="B1" s="4" t="inlineStr">
        <is>
          <t>Ledger row</t>
        </is>
      </c>
      <c r="C1" s="4" t="inlineStr">
        <is>
          <t>Item key</t>
        </is>
      </c>
      <c r="D1" s="4" t="inlineStr">
        <is>
          <t>Kind</t>
        </is>
      </c>
      <c r="E1" s="4" t="inlineStr">
        <is>
          <t>Item</t>
        </is>
      </c>
      <c r="F1" s="4" t="inlineStr">
        <is>
          <t>How it enters</t>
        </is>
      </c>
    </row>
    <row r="2">
      <c r="A2" s="6" t="inlineStr">
        <is>
          <t>The horizon as a decoupling surface</t>
        </is>
      </c>
      <c r="B2" s="5" t="n">
        <v>28</v>
      </c>
      <c r="C2" s="5" t="inlineStr">
        <is>
          <t>P02</t>
        </is>
      </c>
      <c r="D2" s="5" t="inlineStr">
        <is>
          <t>Primitive</t>
        </is>
      </c>
      <c r="E2" s="6" t="inlineStr">
        <is>
          <t>Participation is the primitive relation. Chains participate,</t>
        </is>
      </c>
      <c r="F2" s="6" t="inlineStr">
        <is>
          <t>the cross-bandwidth carried across a surface</t>
        </is>
      </c>
    </row>
    <row r="3">
      <c r="A3" s="6" t="inlineStr">
        <is>
          <t>The horizon as a decoupling surface</t>
        </is>
      </c>
      <c r="B3" s="5" t="n">
        <v>28</v>
      </c>
      <c r="C3" s="5" t="inlineStr">
        <is>
          <t>P04</t>
        </is>
      </c>
      <c r="D3" s="5" t="inlineStr">
        <is>
          <t>Primitive</t>
        </is>
      </c>
      <c r="E3" s="6" t="inlineStr">
        <is>
          <t>Bandwidth: a non-negative, additive quantity.</t>
        </is>
      </c>
      <c r="F3" s="6" t="inlineStr">
        <is>
          <t>the cross-bandwidth carried across a surface</t>
        </is>
      </c>
    </row>
    <row r="4">
      <c r="A4" s="6" t="inlineStr">
        <is>
          <t>The horizon as a decoupling surface</t>
        </is>
      </c>
      <c r="B4" s="5" t="n">
        <v>28</v>
      </c>
      <c r="C4" s="5" t="inlineStr">
        <is>
          <t>P05</t>
        </is>
      </c>
      <c r="D4" s="5" t="inlineStr">
        <is>
          <t>Primitive</t>
        </is>
      </c>
      <c r="E4" s="6" t="inlineStr">
        <is>
          <t>Polarity is transported between neighbouring loci.</t>
        </is>
      </c>
      <c r="F4" s="6" t="inlineStr">
        <is>
          <t>the cross-bandwidth carried across a surface</t>
        </is>
      </c>
    </row>
    <row r="5">
      <c r="A5" s="6" t="inlineStr">
        <is>
          <t>The horizon as a decoupling surface</t>
        </is>
      </c>
      <c r="B5" s="5" t="n">
        <v>28</v>
      </c>
      <c r="C5" s="5" t="inlineStr">
        <is>
          <t>P07</t>
        </is>
      </c>
      <c r="D5" s="5" t="inlineStr">
        <is>
          <t>Primitive</t>
        </is>
      </c>
      <c r="E5" s="6" t="inlineStr">
        <is>
          <t>Channel structure is basic, not built from something else.</t>
        </is>
      </c>
      <c r="F5" s="6" t="inlineStr">
        <is>
          <t>the channels the content moves on</t>
        </is>
      </c>
    </row>
    <row r="6">
      <c r="A6" s="6" t="inlineStr">
        <is>
          <t>The horizon as a decoupling surface</t>
        </is>
      </c>
      <c r="B6" s="5" t="n">
        <v>28</v>
      </c>
      <c r="C6" s="5" t="inlineStr">
        <is>
          <t>P09</t>
        </is>
      </c>
      <c r="D6" s="5" t="inlineStr">
        <is>
          <t>Primitive</t>
        </is>
      </c>
      <c r="E6" s="6" t="inlineStr">
        <is>
          <t>Polarity takes values in U(1), an angle.</t>
        </is>
      </c>
      <c r="F6" s="6" t="inlineStr">
        <is>
          <t>the channels the content moves on</t>
        </is>
      </c>
    </row>
    <row r="7">
      <c r="A7" s="6" t="inlineStr">
        <is>
          <t>The horizon as a decoupling surface</t>
        </is>
      </c>
      <c r="B7" s="5" t="n">
        <v>28</v>
      </c>
      <c r="C7" s="5" t="inlineStr">
        <is>
          <t>P10</t>
        </is>
      </c>
      <c r="D7" s="5" t="inlineStr">
        <is>
          <t>Primitive</t>
        </is>
      </c>
      <c r="E7" s="6" t="inlineStr">
        <is>
          <t xml:space="preserve">Rule-types are primitive. This is what allows the V5 kernel </t>
        </is>
      </c>
      <c r="F7" s="6" t="inlineStr">
        <is>
          <t>the channels the content moves on</t>
        </is>
      </c>
    </row>
    <row r="8">
      <c r="A8" s="6" t="inlineStr">
        <is>
          <t>The horizon as a decoupling surface</t>
        </is>
      </c>
      <c r="B8" s="5" t="n">
        <v>28</v>
      </c>
      <c r="C8" s="5" t="inlineStr">
        <is>
          <t>P11</t>
        </is>
      </c>
      <c r="D8" s="5" t="inlineStr">
        <is>
          <t>Primitive</t>
        </is>
      </c>
      <c r="E8" s="6" t="inlineStr">
        <is>
          <t>Commitment is irreversible, with the environment randomizing</t>
        </is>
      </c>
      <c r="F8" s="6" t="inlineStr">
        <is>
          <t>one-way crossing; the gradient that becomes surface gravity</t>
        </is>
      </c>
    </row>
    <row r="9">
      <c r="A9" s="6" t="inlineStr">
        <is>
          <t>The horizon as a decoupling surface</t>
        </is>
      </c>
      <c r="B9" s="5" t="n">
        <v>28</v>
      </c>
      <c r="C9" s="5" t="inlineStr">
        <is>
          <t>P12</t>
        </is>
      </c>
      <c r="D9" s="5" t="inlineStr">
        <is>
          <t>Primitive</t>
        </is>
      </c>
      <c r="E9" s="6" t="inlineStr">
        <is>
          <t>Each chain has a stability landscape, Σ = Coh − Str − Grad.</t>
        </is>
      </c>
      <c r="F9" s="6" t="inlineStr">
        <is>
          <t>one-way crossing; the gradient that becomes surface gravity</t>
        </is>
      </c>
    </row>
    <row r="10">
      <c r="A10" s="6" t="inlineStr">
        <is>
          <t>The horizon as a decoupling surface</t>
        </is>
      </c>
      <c r="B10" s="5" t="n">
        <v>28</v>
      </c>
      <c r="C10" s="5" t="inlineStr">
        <is>
          <t>A14</t>
        </is>
      </c>
      <c r="D10" s="5" t="inlineStr">
        <is>
          <t>Axiom</t>
        </is>
      </c>
      <c r="E10" s="6" t="inlineStr">
        <is>
          <t>V5 exists</t>
        </is>
      </c>
      <c r="F10" s="6" t="inlineStr">
        <is>
          <t>the cross-chain kernel whose transport dies off</t>
        </is>
      </c>
    </row>
    <row r="11">
      <c r="A11" s="6" t="inlineStr">
        <is>
          <t>The horizon as a decoupling surface</t>
        </is>
      </c>
      <c r="B11" s="5" t="n">
        <v>28</v>
      </c>
      <c r="C11" s="5" t="inlineStr">
        <is>
          <t>A21</t>
        </is>
      </c>
      <c r="D11" s="5" t="inlineStr">
        <is>
          <t>Axiom</t>
        </is>
      </c>
      <c r="E11" s="6" t="inlineStr">
        <is>
          <t>The V1 kernel has this shape</t>
        </is>
      </c>
      <c r="F11" s="6" t="inlineStr">
        <is>
          <t>the single-chain response</t>
        </is>
      </c>
    </row>
    <row r="12">
      <c r="A12" s="6" t="inlineStr">
        <is>
          <t>The Hawking temperature</t>
        </is>
      </c>
      <c r="B12" s="5" t="n">
        <v>36</v>
      </c>
      <c r="C12" s="5" t="inlineStr">
        <is>
          <t>P02</t>
        </is>
      </c>
      <c r="D12" s="5" t="inlineStr">
        <is>
          <t>Primitive</t>
        </is>
      </c>
      <c r="E12" s="6" t="inlineStr">
        <is>
          <t>Participation is the primitive relation. Chains participate,</t>
        </is>
      </c>
      <c r="F12" s="6" t="inlineStr">
        <is>
          <t>the substrate structure at the surface</t>
        </is>
      </c>
    </row>
    <row r="13">
      <c r="A13" s="6" t="inlineStr">
        <is>
          <t>The Hawking temperature</t>
        </is>
      </c>
      <c r="B13" s="5" t="n">
        <v>36</v>
      </c>
      <c r="C13" s="5" t="inlineStr">
        <is>
          <t>P04</t>
        </is>
      </c>
      <c r="D13" s="5" t="inlineStr">
        <is>
          <t>Primitive</t>
        </is>
      </c>
      <c r="E13" s="6" t="inlineStr">
        <is>
          <t>Bandwidth: a non-negative, additive quantity.</t>
        </is>
      </c>
      <c r="F13" s="6" t="inlineStr">
        <is>
          <t>the substrate structure at the surface</t>
        </is>
      </c>
    </row>
    <row r="14">
      <c r="A14" s="6" t="inlineStr">
        <is>
          <t>The Hawking temperature</t>
        </is>
      </c>
      <c r="B14" s="5" t="n">
        <v>36</v>
      </c>
      <c r="C14" s="5" t="inlineStr">
        <is>
          <t>P05</t>
        </is>
      </c>
      <c r="D14" s="5" t="inlineStr">
        <is>
          <t>Primitive</t>
        </is>
      </c>
      <c r="E14" s="6" t="inlineStr">
        <is>
          <t>Polarity is transported between neighbouring loci.</t>
        </is>
      </c>
      <c r="F14" s="6" t="inlineStr">
        <is>
          <t>the substrate structure at the surface</t>
        </is>
      </c>
    </row>
    <row r="15">
      <c r="A15" s="6" t="inlineStr">
        <is>
          <t>The Hawking temperature</t>
        </is>
      </c>
      <c r="B15" s="5" t="n">
        <v>36</v>
      </c>
      <c r="C15" s="5" t="inlineStr">
        <is>
          <t>P07</t>
        </is>
      </c>
      <c r="D15" s="5" t="inlineStr">
        <is>
          <t>Primitive</t>
        </is>
      </c>
      <c r="E15" s="6" t="inlineStr">
        <is>
          <t>Channel structure is basic, not built from something else.</t>
        </is>
      </c>
      <c r="F15" s="6" t="inlineStr">
        <is>
          <t>the substrate structure at the surface</t>
        </is>
      </c>
    </row>
    <row r="16">
      <c r="A16" s="6" t="inlineStr">
        <is>
          <t>The Hawking temperature</t>
        </is>
      </c>
      <c r="B16" s="5" t="n">
        <v>36</v>
      </c>
      <c r="C16" s="5" t="inlineStr">
        <is>
          <t>P09</t>
        </is>
      </c>
      <c r="D16" s="5" t="inlineStr">
        <is>
          <t>Primitive</t>
        </is>
      </c>
      <c r="E16" s="6" t="inlineStr">
        <is>
          <t>Polarity takes values in U(1), an angle.</t>
        </is>
      </c>
      <c r="F16" s="6" t="inlineStr">
        <is>
          <t>the substrate structure at the surface</t>
        </is>
      </c>
    </row>
    <row r="17">
      <c r="A17" s="6" t="inlineStr">
        <is>
          <t>The Hawking temperature</t>
        </is>
      </c>
      <c r="B17" s="5" t="n">
        <v>36</v>
      </c>
      <c r="C17" s="5" t="inlineStr">
        <is>
          <t>P10</t>
        </is>
      </c>
      <c r="D17" s="5" t="inlineStr">
        <is>
          <t>Primitive</t>
        </is>
      </c>
      <c r="E17" s="6" t="inlineStr">
        <is>
          <t xml:space="preserve">Rule-types are primitive. This is what allows the V5 kernel </t>
        </is>
      </c>
      <c r="F17" s="6" t="inlineStr">
        <is>
          <t>the substrate structure at the surface</t>
        </is>
      </c>
    </row>
    <row r="18">
      <c r="A18" s="6" t="inlineStr">
        <is>
          <t>The Hawking temperature</t>
        </is>
      </c>
      <c r="B18" s="5" t="n">
        <v>36</v>
      </c>
      <c r="C18" s="5" t="inlineStr">
        <is>
          <t>P11</t>
        </is>
      </c>
      <c r="D18" s="5" t="inlineStr">
        <is>
          <t>Primitive</t>
        </is>
      </c>
      <c r="E18" s="6" t="inlineStr">
        <is>
          <t>Commitment is irreversible, with the environment randomizing</t>
        </is>
      </c>
      <c r="F18" s="6" t="inlineStr">
        <is>
          <t>the substrate structure at the surface</t>
        </is>
      </c>
    </row>
    <row r="19">
      <c r="A19" s="6" t="inlineStr">
        <is>
          <t>The Hawking temperature</t>
        </is>
      </c>
      <c r="B19" s="5" t="n">
        <v>36</v>
      </c>
      <c r="C19" s="5" t="inlineStr">
        <is>
          <t>P12</t>
        </is>
      </c>
      <c r="D19" s="5" t="inlineStr">
        <is>
          <t>Primitive</t>
        </is>
      </c>
      <c r="E19" s="6" t="inlineStr">
        <is>
          <t>Each chain has a stability landscape, Σ = Coh − Str − Grad.</t>
        </is>
      </c>
      <c r="F19" s="6" t="inlineStr">
        <is>
          <t>the substrate structure at the surface</t>
        </is>
      </c>
    </row>
    <row r="20">
      <c r="A20" s="6" t="inlineStr">
        <is>
          <t>The Hawking temperature</t>
        </is>
      </c>
      <c r="B20" s="5" t="n">
        <v>36</v>
      </c>
      <c r="C20" s="5" t="inlineStr">
        <is>
          <t>A14</t>
        </is>
      </c>
      <c r="D20" s="5" t="inlineStr">
        <is>
          <t>Axiom</t>
        </is>
      </c>
      <c r="E20" s="6" t="inlineStr">
        <is>
          <t>V5 exists</t>
        </is>
      </c>
      <c r="F20" s="6" t="inlineStr">
        <is>
          <t>the correlators that carry the thermal structure</t>
        </is>
      </c>
    </row>
    <row r="21">
      <c r="A21" s="6" t="inlineStr">
        <is>
          <t>The Hawking temperature</t>
        </is>
      </c>
      <c r="B21" s="5" t="n">
        <v>36</v>
      </c>
      <c r="C21" s="5" t="inlineStr">
        <is>
          <t>A21</t>
        </is>
      </c>
      <c r="D21" s="5" t="inlineStr">
        <is>
          <t>Axiom</t>
        </is>
      </c>
      <c r="E21" s="6" t="inlineStr">
        <is>
          <t>The V1 kernel has this shape</t>
        </is>
      </c>
      <c r="F21" s="6" t="inlineStr">
        <is>
          <t>the retarded single-chain response</t>
        </is>
      </c>
    </row>
    <row r="22">
      <c r="A22" s="6" t="inlineStr">
        <is>
          <t>Black-hole entropy: the coefficient 1/4</t>
        </is>
      </c>
      <c r="B22" s="5" t="n">
        <v>41</v>
      </c>
      <c r="C22" s="5" t="inlineStr">
        <is>
          <t>—</t>
        </is>
      </c>
      <c r="D22" s="5" t="inlineStr">
        <is>
          <t>none directly</t>
        </is>
      </c>
      <c r="E22" s="6" t="inlineStr">
        <is>
          <t>runs on earlier ED results</t>
        </is>
      </c>
      <c r="F22" s="6" t="inlineStr"/>
    </row>
    <row r="23">
      <c r="A23" s="6" t="inlineStr">
        <is>
          <t>Primordial gravitational waves and today's are one mechanism</t>
        </is>
      </c>
      <c r="B23" s="5" t="n">
        <v>44</v>
      </c>
      <c r="C23" s="5" t="inlineStr">
        <is>
          <t>P02</t>
        </is>
      </c>
      <c r="D23" s="5" t="inlineStr">
        <is>
          <t>Primitive</t>
        </is>
      </c>
      <c r="E23" s="6" t="inlineStr">
        <is>
          <t>Participation is the primitive relation. Chains participate,</t>
        </is>
      </c>
      <c r="F23" s="6" t="inlineStr">
        <is>
          <t>the fluctuating structure, and the symmetry behind the conserved quantities</t>
        </is>
      </c>
    </row>
    <row r="24">
      <c r="A24" s="6" t="inlineStr">
        <is>
          <t>Primordial gravitational waves and today's are one mechanism</t>
        </is>
      </c>
      <c r="B24" s="5" t="n">
        <v>44</v>
      </c>
      <c r="C24" s="5" t="inlineStr">
        <is>
          <t>P03</t>
        </is>
      </c>
      <c r="D24" s="5" t="inlineStr">
        <is>
          <t>Primitive</t>
        </is>
      </c>
      <c r="E24" s="6" t="inlineStr">
        <is>
          <t>Channels and loci are indexed, and space is homogeneous.</t>
        </is>
      </c>
      <c r="F24" s="6" t="inlineStr">
        <is>
          <t>the fluctuating structure, and the symmetry behind the conserved quantities</t>
        </is>
      </c>
    </row>
    <row r="25">
      <c r="A25" s="6" t="inlineStr">
        <is>
          <t>Primordial gravitational waves and today's are one mechanism</t>
        </is>
      </c>
      <c r="B25" s="5" t="n">
        <v>44</v>
      </c>
      <c r="C25" s="5" t="inlineStr">
        <is>
          <t>P09</t>
        </is>
      </c>
      <c r="D25" s="5" t="inlineStr">
        <is>
          <t>Primitive</t>
        </is>
      </c>
      <c r="E25" s="6" t="inlineStr">
        <is>
          <t>Polarity takes values in U(1), an angle.</t>
        </is>
      </c>
      <c r="F25" s="6" t="inlineStr">
        <is>
          <t>the landscape whose shape fluctuates</t>
        </is>
      </c>
    </row>
    <row r="26">
      <c r="A26" s="6" t="inlineStr">
        <is>
          <t>Primordial gravitational waves and today's are one mechanism</t>
        </is>
      </c>
      <c r="B26" s="5" t="n">
        <v>44</v>
      </c>
      <c r="C26" s="5" t="inlineStr">
        <is>
          <t>P10</t>
        </is>
      </c>
      <c r="D26" s="5" t="inlineStr">
        <is>
          <t>Primitive</t>
        </is>
      </c>
      <c r="E26" s="6" t="inlineStr">
        <is>
          <t xml:space="preserve">Rule-types are primitive. This is what allows the V5 kernel </t>
        </is>
      </c>
      <c r="F26" s="6" t="inlineStr">
        <is>
          <t>the landscape whose shape fluctuates</t>
        </is>
      </c>
    </row>
    <row r="27">
      <c r="A27" s="6" t="inlineStr">
        <is>
          <t>Primordial gravitational waves and today's are one mechanism</t>
        </is>
      </c>
      <c r="B27" s="5" t="n">
        <v>44</v>
      </c>
      <c r="C27" s="5" t="inlineStr">
        <is>
          <t>P11</t>
        </is>
      </c>
      <c r="D27" s="5" t="inlineStr">
        <is>
          <t>Primitive</t>
        </is>
      </c>
      <c r="E27" s="6" t="inlineStr">
        <is>
          <t>Commitment is irreversible, with the environment randomizing</t>
        </is>
      </c>
      <c r="F27" s="6" t="inlineStr">
        <is>
          <t>the landscape whose shape fluctuates</t>
        </is>
      </c>
    </row>
    <row r="28">
      <c r="A28" s="6" t="inlineStr">
        <is>
          <t>Primordial gravitational waves and today's are one mechanism</t>
        </is>
      </c>
      <c r="B28" s="5" t="n">
        <v>44</v>
      </c>
      <c r="C28" s="5" t="inlineStr">
        <is>
          <t>P12</t>
        </is>
      </c>
      <c r="D28" s="5" t="inlineStr">
        <is>
          <t>Primitive</t>
        </is>
      </c>
      <c r="E28" s="6" t="inlineStr">
        <is>
          <t>Each chain has a stability landscape, Σ = Coh − Str − Grad.</t>
        </is>
      </c>
      <c r="F28" s="6" t="inlineStr">
        <is>
          <t>the landscape whose shape fluctuates</t>
        </is>
      </c>
    </row>
    <row r="29">
      <c r="A29" s="6" t="inlineStr">
        <is>
          <t>Primordial gravitational waves and today's are one mechanism</t>
        </is>
      </c>
      <c r="B29" s="5" t="n">
        <v>44</v>
      </c>
      <c r="C29" s="5" t="inlineStr">
        <is>
          <t>P13</t>
        </is>
      </c>
      <c r="D29" s="5" t="inlineStr">
        <is>
          <t>Primitive</t>
        </is>
      </c>
      <c r="E29" s="6" t="inlineStr">
        <is>
          <t>Time is homogeneous, and events are discrete.</t>
        </is>
      </c>
      <c r="F29" s="6" t="inlineStr">
        <is>
          <t>the landscape whose shape fluctuates</t>
        </is>
      </c>
    </row>
    <row r="30">
      <c r="A30" s="6" t="inlineStr">
        <is>
          <t>Primordial gravitational waves and today's are one mechanism</t>
        </is>
      </c>
      <c r="B30" s="5" t="n">
        <v>44</v>
      </c>
      <c r="C30" s="5" t="inlineStr">
        <is>
          <t>A11</t>
        </is>
      </c>
      <c r="D30" s="5" t="inlineStr">
        <is>
          <t>Axiom</t>
        </is>
      </c>
      <c r="E30" s="6" t="inlineStr">
        <is>
          <t>P-RB-1</t>
        </is>
      </c>
      <c r="F30" s="6" t="inlineStr">
        <is>
          <t>keeps everything inside the substrate's speed limit</t>
        </is>
      </c>
    </row>
    <row r="31">
      <c r="A31" s="6" t="inlineStr">
        <is>
          <t>Matter moves on geodesics</t>
        </is>
      </c>
      <c r="B31" s="5" t="n">
        <v>66</v>
      </c>
      <c r="C31" s="5" t="inlineStr">
        <is>
          <t>P04</t>
        </is>
      </c>
      <c r="D31" s="5" t="inlineStr">
        <is>
          <t>Primitive</t>
        </is>
      </c>
      <c r="E31" s="6" t="inlineStr">
        <is>
          <t>Bandwidth: a non-negative, additive quantity.</t>
        </is>
      </c>
      <c r="F31" s="6" t="inlineStr">
        <is>
          <t>makes the bandwidth current an extensive, conserved flux</t>
        </is>
      </c>
    </row>
    <row r="32">
      <c r="A32" s="6" t="inlineStr">
        <is>
          <t>Matter moves on geodesics</t>
        </is>
      </c>
      <c r="B32" s="5" t="n">
        <v>66</v>
      </c>
      <c r="C32" s="5" t="inlineStr">
        <is>
          <t>P05</t>
        </is>
      </c>
      <c r="D32" s="5" t="inlineStr">
        <is>
          <t>Primitive</t>
        </is>
      </c>
      <c r="E32" s="6" t="inlineStr">
        <is>
          <t>Polarity is transported between neighbouring loci.</t>
        </is>
      </c>
      <c r="F32" s="6" t="inlineStr">
        <is>
          <t>types the current as a transported amount, which fixes what kind of object it is</t>
        </is>
      </c>
    </row>
    <row r="33">
      <c r="A33" s="6" t="inlineStr">
        <is>
          <t>ED's gravity is khronometric</t>
        </is>
      </c>
      <c r="B33" s="5" t="n">
        <v>67</v>
      </c>
      <c r="C33" s="5" t="inlineStr">
        <is>
          <t>P11</t>
        </is>
      </c>
      <c r="D33" s="5" t="inlineStr">
        <is>
          <t>Primitive</t>
        </is>
      </c>
      <c r="E33" s="6" t="inlineStr">
        <is>
          <t>Commitment is irreversible, with the environment randomizing</t>
        </is>
      </c>
      <c r="F33" s="6" t="inlineStr">
        <is>
          <t>puts the time direction in the dynamics, not in the starting conditions</t>
        </is>
      </c>
    </row>
    <row r="34">
      <c r="A34" s="6" t="inlineStr">
        <is>
          <t>ED's gravity is khronometric</t>
        </is>
      </c>
      <c r="B34" s="5" t="n">
        <v>67</v>
      </c>
      <c r="C34" s="5" t="inlineStr">
        <is>
          <t>P13</t>
        </is>
      </c>
      <c r="D34" s="5" t="inlineStr">
        <is>
          <t>Primitive</t>
        </is>
      </c>
      <c r="E34" s="6" t="inlineStr">
        <is>
          <t>Time is homogeneous, and events are discrete.</t>
        </is>
      </c>
      <c r="F34" s="6" t="inlineStr">
        <is>
          <t>supplies the slicing</t>
        </is>
      </c>
    </row>
    <row r="35">
      <c r="A35" s="6" t="inlineStr">
        <is>
          <t>ED's gravity is khronometric</t>
        </is>
      </c>
      <c r="B35" s="5" t="n">
        <v>67</v>
      </c>
      <c r="C35" s="5" t="inlineStr">
        <is>
          <t>P02</t>
        </is>
      </c>
      <c r="D35" s="5" t="inlineStr">
        <is>
          <t>Primitive</t>
        </is>
      </c>
      <c r="E35" s="6" t="inlineStr">
        <is>
          <t>Participation is the primitive relation. Chains participate,</t>
        </is>
      </c>
      <c r="F35" s="6" t="inlineStr">
        <is>
          <t>the shared metric band</t>
        </is>
      </c>
    </row>
    <row r="36">
      <c r="A36" s="6" t="inlineStr">
        <is>
          <t>Gravitational waves travel at the speed of light</t>
        </is>
      </c>
      <c r="B36" s="5" t="n">
        <v>68</v>
      </c>
      <c r="C36" s="5" t="inlineStr">
        <is>
          <t>P05</t>
        </is>
      </c>
      <c r="D36" s="5" t="inlineStr">
        <is>
          <t>Primitive</t>
        </is>
      </c>
      <c r="E36" s="6" t="inlineStr">
        <is>
          <t>Polarity is transported between neighbouring loci.</t>
        </is>
      </c>
      <c r="F36" s="6" t="inlineStr">
        <is>
          <t>one transport mechanism, therefore one limiting speed</t>
        </is>
      </c>
    </row>
    <row r="37">
      <c r="A37" s="6" t="inlineStr">
        <is>
          <t>Gravitational waves travel at the speed of light</t>
        </is>
      </c>
      <c r="B37" s="5" t="n">
        <v>68</v>
      </c>
      <c r="C37" s="5" t="inlineStr">
        <is>
          <t>A21</t>
        </is>
      </c>
      <c r="D37" s="5" t="inlineStr">
        <is>
          <t>Axiom</t>
        </is>
      </c>
      <c r="E37" s="6" t="inlineStr">
        <is>
          <t>The V1 kernel has this shape</t>
        </is>
      </c>
      <c r="F37" s="6" t="inlineStr">
        <is>
          <t>fixes the finite width that sets the speed limit</t>
        </is>
      </c>
    </row>
    <row r="38">
      <c r="A38" s="6" t="inlineStr">
        <is>
          <t>The extra gravitational mode also travels at c</t>
        </is>
      </c>
      <c r="B38" s="5" t="n">
        <v>70</v>
      </c>
      <c r="C38" s="5" t="inlineStr">
        <is>
          <t>P11</t>
        </is>
      </c>
      <c r="D38" s="5" t="inlineStr">
        <is>
          <t>Primitive</t>
        </is>
      </c>
      <c r="E38" s="6" t="inlineStr">
        <is>
          <t>Commitment is irreversible, with the environment randomizing</t>
        </is>
      </c>
      <c r="F38" s="6" t="inlineStr">
        <is>
          <t>makes the commitment-reserve sector one-way, a drain that never refills</t>
        </is>
      </c>
    </row>
    <row r="39">
      <c r="A39" s="6" t="inlineStr">
        <is>
          <t>The extra gravitational mode also travels at c</t>
        </is>
      </c>
      <c r="B39" s="5" t="n">
        <v>70</v>
      </c>
      <c r="C39" s="5" t="inlineStr">
        <is>
          <t>P04</t>
        </is>
      </c>
      <c r="D39" s="5" t="inlineStr">
        <is>
          <t>Primitive</t>
        </is>
      </c>
      <c r="E39" s="6" t="inlineStr">
        <is>
          <t>Bandwidth: a non-negative, additive quantity.</t>
        </is>
      </c>
      <c r="F39" s="6" t="inlineStr">
        <is>
          <t>the reserve band itself</t>
        </is>
      </c>
    </row>
    <row r="40">
      <c r="A40" s="6" t="inlineStr">
        <is>
          <t>The extra gravitational mode also travels at c</t>
        </is>
      </c>
      <c r="B40" s="5" t="n">
        <v>70</v>
      </c>
      <c r="C40" s="5" t="inlineStr">
        <is>
          <t>P02</t>
        </is>
      </c>
      <c r="D40" s="5" t="inlineStr">
        <is>
          <t>Primitive</t>
        </is>
      </c>
      <c r="E40" s="6" t="inlineStr">
        <is>
          <t>Participation is the primitive relation. Chains participate,</t>
        </is>
      </c>
      <c r="F40" s="6" t="inlineStr">
        <is>
          <t>the shared band and the slicing</t>
        </is>
      </c>
    </row>
    <row r="41">
      <c r="A41" s="6" t="inlineStr">
        <is>
          <t>The extra gravitational mode also travels at c</t>
        </is>
      </c>
      <c r="B41" s="5" t="n">
        <v>70</v>
      </c>
      <c r="C41" s="5" t="inlineStr">
        <is>
          <t>P13</t>
        </is>
      </c>
      <c r="D41" s="5" t="inlineStr">
        <is>
          <t>Primitive</t>
        </is>
      </c>
      <c r="E41" s="6" t="inlineStr">
        <is>
          <t>Time is homogeneous, and events are discrete.</t>
        </is>
      </c>
      <c r="F41" s="6" t="inlineStr">
        <is>
          <t>the shared band and the slicing</t>
        </is>
      </c>
    </row>
    <row r="42">
      <c r="A42" s="6" t="inlineStr">
        <is>
          <t>The tightest preferred-frame test is passed exactly</t>
        </is>
      </c>
      <c r="B42" s="5" t="n">
        <v>71</v>
      </c>
      <c r="C42" s="5" t="inlineStr">
        <is>
          <t>—</t>
        </is>
      </c>
      <c r="D42" s="5" t="inlineStr">
        <is>
          <t>none directly</t>
        </is>
      </c>
      <c r="E42" s="6" t="inlineStr">
        <is>
          <t>runs on earlier ED results</t>
        </is>
      </c>
      <c r="F42" s="6" t="inlineStr"/>
    </row>
    <row r="43">
      <c r="A43" s="6" t="inlineStr">
        <is>
          <t>Where the gauge groups come from</t>
        </is>
      </c>
      <c r="B43" s="5" t="n">
        <v>84</v>
      </c>
      <c r="C43" s="5" t="inlineStr">
        <is>
          <t>P04</t>
        </is>
      </c>
      <c r="D43" s="5" t="inlineStr">
        <is>
          <t>Primitive</t>
        </is>
      </c>
      <c r="E43" s="6" t="inlineStr">
        <is>
          <t>Bandwidth: a non-negative, additive quantity.</t>
        </is>
      </c>
      <c r="F43" s="6" t="inlineStr">
        <is>
          <t>forces transport to preserve the norm, which makes it an isometry</t>
        </is>
      </c>
    </row>
    <row r="44">
      <c r="A44" s="6" t="inlineStr">
        <is>
          <t>Where the gauge groups come from</t>
        </is>
      </c>
      <c r="B44" s="5" t="n">
        <v>84</v>
      </c>
      <c r="C44" s="5" t="inlineStr">
        <is>
          <t>P07</t>
        </is>
      </c>
      <c r="D44" s="5" t="inlineStr">
        <is>
          <t>Primitive</t>
        </is>
      </c>
      <c r="E44" s="6" t="inlineStr">
        <is>
          <t>Channel structure is basic, not built from something else.</t>
        </is>
      </c>
      <c r="F44" s="6" t="inlineStr">
        <is>
          <t>supplies the multiplicity N</t>
        </is>
      </c>
    </row>
    <row r="45">
      <c r="A45" s="6" t="inlineStr">
        <is>
          <t>Where the gauge groups come from</t>
        </is>
      </c>
      <c r="B45" s="5" t="n">
        <v>84</v>
      </c>
      <c r="C45" s="5" t="inlineStr">
        <is>
          <t>P09</t>
        </is>
      </c>
      <c r="D45" s="5" t="inlineStr">
        <is>
          <t>Primitive</t>
        </is>
      </c>
      <c r="E45" s="6" t="inlineStr">
        <is>
          <t>Polarity takes values in U(1), an angle.</t>
        </is>
      </c>
      <c r="F45" s="6" t="inlineStr">
        <is>
          <t>the phase the amplitude carries</t>
        </is>
      </c>
    </row>
    <row r="46">
      <c r="A46" s="6" t="inlineStr">
        <is>
          <t>Where the gauge groups come from</t>
        </is>
      </c>
      <c r="B46" s="5" t="n">
        <v>84</v>
      </c>
      <c r="C46" s="5" t="inlineStr">
        <is>
          <t>A14</t>
        </is>
      </c>
      <c r="D46" s="5" t="inlineStr">
        <is>
          <t>Axiom</t>
        </is>
      </c>
      <c r="E46" s="6" t="inlineStr">
        <is>
          <t>V5 exists</t>
        </is>
      </c>
      <c r="F46" s="6" t="inlineStr">
        <is>
          <t>cross-channel mixing, which is the non-abelian part</t>
        </is>
      </c>
    </row>
    <row r="47">
      <c r="A47" s="6" t="inlineStr">
        <is>
          <t>Where the gauge groups come from</t>
        </is>
      </c>
      <c r="B47" s="5" t="n">
        <v>84</v>
      </c>
      <c r="C47" s="5" t="inlineStr">
        <is>
          <t>A21</t>
        </is>
      </c>
      <c r="D47" s="5" t="inlineStr">
        <is>
          <t>Axiom</t>
        </is>
      </c>
      <c r="E47" s="6" t="inlineStr">
        <is>
          <t>The V1 kernel has this shape</t>
        </is>
      </c>
      <c r="F47" s="6" t="inlineStr">
        <is>
          <t>single-channel transport, which is the abelian part</t>
        </is>
      </c>
    </row>
    <row r="48">
      <c r="A48" s="6" t="inlineStr">
        <is>
          <t>Where the gauge groups come from</t>
        </is>
      </c>
      <c r="B48" s="5" t="n">
        <v>84</v>
      </c>
      <c r="C48" s="5" t="inlineStr">
        <is>
          <t>D2</t>
        </is>
      </c>
      <c r="D48" s="5" t="inlineStr">
        <is>
          <t>Definition</t>
        </is>
      </c>
      <c r="E48" s="6" t="inlineStr">
        <is>
          <t>P-Motif-Algebra</t>
        </is>
      </c>
      <c r="F48" s="6" t="inlineStr">
        <is>
          <t>lets the channel content be a complex vector</t>
        </is>
      </c>
    </row>
    <row r="49">
      <c r="A49" s="6" t="inlineStr">
        <is>
          <t>Why kinetic energy has a 1/2 in it</t>
        </is>
      </c>
      <c r="B49" s="5" t="n">
        <v>89</v>
      </c>
      <c r="C49" s="5" t="inlineStr">
        <is>
          <t>P03</t>
        </is>
      </c>
      <c r="D49" s="5" t="inlineStr">
        <is>
          <t>Primitive</t>
        </is>
      </c>
      <c r="E49" s="6" t="inlineStr">
        <is>
          <t>Channels and loci are indexed, and space is homogeneous.</t>
        </is>
      </c>
      <c r="F49" s="6" t="inlineStr">
        <is>
          <t>makes adjacency content boost-invariant</t>
        </is>
      </c>
    </row>
    <row r="50">
      <c r="A50" s="6" t="inlineStr">
        <is>
          <t>Why kinetic energy has a 1/2 in it</t>
        </is>
      </c>
      <c r="B50" s="5" t="n">
        <v>89</v>
      </c>
      <c r="C50" s="5" t="inlineStr">
        <is>
          <t>P05</t>
        </is>
      </c>
      <c r="D50" s="5" t="inlineStr">
        <is>
          <t>Primitive</t>
        </is>
      </c>
      <c r="E50" s="6" t="inlineStr">
        <is>
          <t>Polarity is transported between neighbouring loci.</t>
        </is>
      </c>
      <c r="F50" s="6" t="inlineStr">
        <is>
          <t>supplies the motion-rate content, which does transform</t>
        </is>
      </c>
    </row>
    <row r="51">
      <c r="A51" s="6" t="inlineStr">
        <is>
          <t>Why kinetic energy has a 1/2 in it</t>
        </is>
      </c>
      <c r="B51" s="5" t="n">
        <v>89</v>
      </c>
      <c r="C51" s="5" t="inlineStr">
        <is>
          <t>P04</t>
        </is>
      </c>
      <c r="D51" s="5" t="inlineStr">
        <is>
          <t>Primitive</t>
        </is>
      </c>
      <c r="E51" s="6" t="inlineStr">
        <is>
          <t>Bandwidth: a non-negative, additive quantity.</t>
        </is>
      </c>
      <c r="F51" s="6" t="inlineStr">
        <is>
          <t>supplies only the non-negative size of that content</t>
        </is>
      </c>
    </row>
    <row r="52">
      <c r="A52" s="6" t="inlineStr">
        <is>
          <t>Why kinetic energy has a 1/2 in it</t>
        </is>
      </c>
      <c r="B52" s="5" t="n">
        <v>89</v>
      </c>
      <c r="C52" s="5" t="inlineStr">
        <is>
          <t>P10</t>
        </is>
      </c>
      <c r="D52" s="5" t="inlineStr">
        <is>
          <t>Primitive</t>
        </is>
      </c>
      <c r="E52" s="6" t="inlineStr">
        <is>
          <t xml:space="preserve">Rule-types are primitive. This is what allows the V5 kernel </t>
        </is>
      </c>
      <c r="F52" s="6" t="inlineStr">
        <is>
          <t>the carriers</t>
        </is>
      </c>
    </row>
    <row r="53">
      <c r="A53" s="6" t="inlineStr">
        <is>
          <t>Why kinetic energy has a 1/2 in it</t>
        </is>
      </c>
      <c r="B53" s="5" t="n">
        <v>89</v>
      </c>
      <c r="C53" s="5" t="inlineStr">
        <is>
          <t>C22</t>
        </is>
      </c>
      <c r="D53" s="5" t="inlineStr">
        <is>
          <t>Condition</t>
        </is>
      </c>
      <c r="E53" s="6" t="inlineStr">
        <is>
          <t>Space's shape changes gently</t>
        </is>
      </c>
      <c r="F53" s="6" t="inlineStr">
        <is>
          <t>it runs on the emergent metric, so those conditions apply</t>
        </is>
      </c>
    </row>
    <row r="54">
      <c r="A54" s="6" t="inlineStr">
        <is>
          <t>Why kinetic energy has a 1/2 in it</t>
        </is>
      </c>
      <c r="B54" s="5" t="n">
        <v>89</v>
      </c>
      <c r="C54" s="5" t="inlineStr">
        <is>
          <t>C23</t>
        </is>
      </c>
      <c r="D54" s="5" t="inlineStr">
        <is>
          <t>Condition</t>
        </is>
      </c>
      <c r="E54" s="6" t="inlineStr">
        <is>
          <t>Time stays different from space</t>
        </is>
      </c>
      <c r="F54" s="6" t="inlineStr">
        <is>
          <t>it runs on the emergent metric, so those conditions apply</t>
        </is>
      </c>
    </row>
    <row r="55">
      <c r="A55" s="6" t="inlineStr">
        <is>
          <t>Why kinetic energy has a 1/2 in it</t>
        </is>
      </c>
      <c r="B55" s="5" t="n">
        <v>89</v>
      </c>
      <c r="C55" s="5" t="inlineStr">
        <is>
          <t>C24</t>
        </is>
      </c>
      <c r="D55" s="5" t="inlineStr">
        <is>
          <t>Condition</t>
        </is>
      </c>
      <c r="E55" s="6" t="inlineStr">
        <is>
          <t>No negative-energy waves</t>
        </is>
      </c>
      <c r="F55" s="6" t="inlineStr">
        <is>
          <t>it runs on the emergent metric, so those conditions apply</t>
        </is>
      </c>
    </row>
    <row r="56">
      <c r="A56" s="6" t="inlineStr">
        <is>
          <t>Why kinetic energy has a 1/2 in it</t>
        </is>
      </c>
      <c r="B56" s="5" t="n">
        <v>89</v>
      </c>
      <c r="C56" s="5" t="inlineStr">
        <is>
          <t>C25</t>
        </is>
      </c>
      <c r="D56" s="5" t="inlineStr">
        <is>
          <t>Condition</t>
        </is>
      </c>
      <c r="E56" s="6" t="inlineStr">
        <is>
          <t>Zoom out the right amount</t>
        </is>
      </c>
      <c r="F56" s="6" t="inlineStr">
        <is>
          <t>it runs on the emergent metric, so those conditions apply</t>
        </is>
      </c>
    </row>
    <row r="57">
      <c r="A57" s="6" t="inlineStr">
        <is>
          <t>Why kinetic energy has a 1/2 in it</t>
        </is>
      </c>
      <c r="B57" s="5" t="n">
        <v>89</v>
      </c>
      <c r="C57" s="5" t="inlineStr">
        <is>
          <t>C26</t>
        </is>
      </c>
      <c r="D57" s="5" t="inlineStr">
        <is>
          <t>Condition</t>
        </is>
      </c>
      <c r="E57" s="6" t="inlineStr">
        <is>
          <t>Horizons behave</t>
        </is>
      </c>
      <c r="F57" s="6" t="inlineStr">
        <is>
          <t>it runs on the emergent metric, so those conditions apply</t>
        </is>
      </c>
    </row>
    <row r="58">
      <c r="A58" s="6" t="inlineStr">
        <is>
          <t>The spinor frame is unique</t>
        </is>
      </c>
      <c r="B58" s="5" t="n">
        <v>90</v>
      </c>
      <c r="C58" s="5" t="inlineStr">
        <is>
          <t>P06</t>
        </is>
      </c>
      <c r="D58" s="5" t="inlineStr">
        <is>
          <t>Primitive</t>
        </is>
      </c>
      <c r="E58" s="6" t="inlineStr">
        <is>
          <t>Space has 3 dimensions, plus time (D = 3+1).</t>
        </is>
      </c>
      <c r="F58" s="6" t="inlineStr">
        <is>
          <t>load-bearing. It forces the signature, and so fixes which Clifford algebra applies</t>
        </is>
      </c>
    </row>
    <row r="59">
      <c r="A59" s="6" t="inlineStr">
        <is>
          <t>The spinor frame is unique</t>
        </is>
      </c>
      <c r="B59" s="5" t="n">
        <v>90</v>
      </c>
      <c r="C59" s="5" t="inlineStr">
        <is>
          <t>P03</t>
        </is>
      </c>
      <c r="D59" s="5" t="inlineStr">
        <is>
          <t>Primitive</t>
        </is>
      </c>
      <c r="E59" s="6" t="inlineStr">
        <is>
          <t>Channels and loci are indexed, and space is homogeneous.</t>
        </is>
      </c>
      <c r="F59" s="6" t="inlineStr">
        <is>
          <t>the indexing the gamma matrices act on</t>
        </is>
      </c>
    </row>
    <row r="60">
      <c r="A60" s="6" t="inlineStr">
        <is>
          <t>The spinor frame is unique</t>
        </is>
      </c>
      <c r="B60" s="5" t="n">
        <v>90</v>
      </c>
      <c r="C60" s="5" t="inlineStr">
        <is>
          <t>P05</t>
        </is>
      </c>
      <c r="D60" s="5" t="inlineStr">
        <is>
          <t>Primitive</t>
        </is>
      </c>
      <c r="E60" s="6" t="inlineStr">
        <is>
          <t>Polarity is transported between neighbouring loci.</t>
        </is>
      </c>
      <c r="F60" s="6" t="inlineStr">
        <is>
          <t>the transport the Clifford structure is defined over</t>
        </is>
      </c>
    </row>
    <row r="61">
      <c r="A61" s="6" t="inlineStr">
        <is>
          <t>The spinor frame is unique</t>
        </is>
      </c>
      <c r="B61" s="5" t="n">
        <v>90</v>
      </c>
      <c r="C61" s="5" t="inlineStr">
        <is>
          <t>P09</t>
        </is>
      </c>
      <c r="D61" s="5" t="inlineStr">
        <is>
          <t>Primitive</t>
        </is>
      </c>
      <c r="E61" s="6" t="inlineStr">
        <is>
          <t>Polarity takes values in U(1), an angle.</t>
        </is>
      </c>
      <c r="F61" s="6" t="inlineStr">
        <is>
          <t>the angular structure carried onto the gammas</t>
        </is>
      </c>
    </row>
    <row r="62">
      <c r="A62" s="6" t="inlineStr">
        <is>
          <t>The spinor frame is unique</t>
        </is>
      </c>
      <c r="B62" s="5" t="n">
        <v>90</v>
      </c>
      <c r="C62" s="5" t="inlineStr">
        <is>
          <t>P10</t>
        </is>
      </c>
      <c r="D62" s="5" t="inlineStr">
        <is>
          <t>Primitive</t>
        </is>
      </c>
      <c r="E62" s="6" t="inlineStr">
        <is>
          <t xml:space="preserve">Rule-types are primitive. This is what allows the V5 kernel </t>
        </is>
      </c>
      <c r="F62" s="6" t="inlineStr">
        <is>
          <t>supplies the spinor carriers</t>
        </is>
      </c>
    </row>
    <row r="63">
      <c r="A63" s="6" t="inlineStr">
        <is>
          <t>The spinor frame is unique</t>
        </is>
      </c>
      <c r="B63" s="5" t="n">
        <v>90</v>
      </c>
      <c r="C63" s="5" t="inlineStr">
        <is>
          <t>C23</t>
        </is>
      </c>
      <c r="D63" s="5" t="inlineStr">
        <is>
          <t>Condition</t>
        </is>
      </c>
      <c r="E63" s="6" t="inlineStr">
        <is>
          <t>Time stays different from space</t>
        </is>
      </c>
      <c r="F63" s="6" t="inlineStr">
        <is>
          <t>the signature comes through the emergent metric, which needs this condition held</t>
        </is>
      </c>
    </row>
    <row r="64">
      <c r="A64" s="6" t="inlineStr">
        <is>
          <t>No anyons in three dimensions</t>
        </is>
      </c>
      <c r="B64" s="5" t="n">
        <v>91</v>
      </c>
      <c r="C64" s="5" t="inlineStr">
        <is>
          <t>P06</t>
        </is>
      </c>
      <c r="D64" s="5" t="inlineStr">
        <is>
          <t>Primitive</t>
        </is>
      </c>
      <c r="E64" s="6" t="inlineStr">
        <is>
          <t>Space has 3 dimensions, plus time (D = 3+1).</t>
        </is>
      </c>
      <c r="F64" s="6" t="inlineStr">
        <is>
          <t>the load-bearing item. Everything turns on the dimension being three</t>
        </is>
      </c>
    </row>
    <row r="65">
      <c r="A65" s="6" t="inlineStr">
        <is>
          <t>No anyons in three dimensions</t>
        </is>
      </c>
      <c r="B65" s="5" t="n">
        <v>91</v>
      </c>
      <c r="C65" s="5" t="inlineStr">
        <is>
          <t>P10</t>
        </is>
      </c>
      <c r="D65" s="5" t="inlineStr">
        <is>
          <t>Primitive</t>
        </is>
      </c>
      <c r="E65" s="6" t="inlineStr">
        <is>
          <t xml:space="preserve">Rule-types are primitive. This is what allows the V5 kernel </t>
        </is>
      </c>
      <c r="F65" s="6" t="inlineStr">
        <is>
          <t>supplies the identical carriers being exchanged</t>
        </is>
      </c>
    </row>
    <row r="66">
      <c r="A66" s="6" t="inlineStr">
        <is>
          <t>No anyons in three dimensions</t>
        </is>
      </c>
      <c r="B66" s="5" t="n">
        <v>91</v>
      </c>
      <c r="C66" s="5" t="inlineStr">
        <is>
          <t>P03</t>
        </is>
      </c>
      <c r="D66" s="5" t="inlineStr">
        <is>
          <t>Primitive</t>
        </is>
      </c>
      <c r="E66" s="6" t="inlineStr">
        <is>
          <t>Channels and loci are indexed, and space is homogeneous.</t>
        </is>
      </c>
      <c r="F66" s="6" t="inlineStr">
        <is>
          <t>builds the configuration space</t>
        </is>
      </c>
    </row>
    <row r="67">
      <c r="A67" s="6" t="inlineStr">
        <is>
          <t>Charge as a winding number</t>
        </is>
      </c>
      <c r="B67" s="5" t="n">
        <v>93</v>
      </c>
      <c r="C67" s="5" t="inlineStr">
        <is>
          <t>P09</t>
        </is>
      </c>
      <c r="D67" s="5" t="inlineStr">
        <is>
          <t>Primitive</t>
        </is>
      </c>
      <c r="E67" s="6" t="inlineStr">
        <is>
          <t>Polarity takes values in U(1), an angle.</t>
        </is>
      </c>
      <c r="F67" s="6" t="inlineStr">
        <is>
          <t>the angle that does the winding</t>
        </is>
      </c>
    </row>
    <row r="68">
      <c r="A68" s="6" t="inlineStr">
        <is>
          <t>Charge as a winding number</t>
        </is>
      </c>
      <c r="B68" s="5" t="n">
        <v>93</v>
      </c>
      <c r="C68" s="5" t="inlineStr">
        <is>
          <t>P05</t>
        </is>
      </c>
      <c r="D68" s="5" t="inlineStr">
        <is>
          <t>Primitive</t>
        </is>
      </c>
      <c r="E68" s="6" t="inlineStr">
        <is>
          <t>Polarity is transported between neighbouring loci.</t>
        </is>
      </c>
      <c r="F68" s="6" t="inlineStr">
        <is>
          <t>the discrete connection the winding is measured along</t>
        </is>
      </c>
    </row>
    <row r="69">
      <c r="A69" s="6" t="inlineStr">
        <is>
          <t>Charge as a winding number</t>
        </is>
      </c>
      <c r="B69" s="5" t="n">
        <v>93</v>
      </c>
      <c r="C69" s="5" t="inlineStr">
        <is>
          <t>P11</t>
        </is>
      </c>
      <c r="D69" s="5" t="inlineStr">
        <is>
          <t>Primitive</t>
        </is>
      </c>
      <c r="E69" s="6" t="inlineStr">
        <is>
          <t>Commitment is irreversible, with the environment randomizing</t>
        </is>
      </c>
      <c r="F69" s="6" t="inlineStr">
        <is>
          <t>the protection. Changing the winding would mean uncommitting a polarity</t>
        </is>
      </c>
    </row>
    <row r="70">
      <c r="A70" s="6" t="inlineStr">
        <is>
          <t>Charge as a winding number</t>
        </is>
      </c>
      <c r="B70" s="5" t="n">
        <v>93</v>
      </c>
      <c r="C70" s="5" t="inlineStr">
        <is>
          <t>P04</t>
        </is>
      </c>
      <c r="D70" s="5" t="inlineStr">
        <is>
          <t>Primitive</t>
        </is>
      </c>
      <c r="E70" s="6" t="inlineStr">
        <is>
          <t>Bandwidth: a non-negative, additive quantity.</t>
        </is>
      </c>
      <c r="F70" s="6" t="inlineStr">
        <is>
          <t>the weak channel through which the winding couples to anything</t>
        </is>
      </c>
    </row>
    <row r="71">
      <c r="A71" s="6" t="inlineStr">
        <is>
          <t>If the world is left-handed, it chose to be</t>
        </is>
      </c>
      <c r="B71" s="5" t="n">
        <v>94</v>
      </c>
      <c r="C71" s="5" t="inlineStr">
        <is>
          <t>P09</t>
        </is>
      </c>
      <c r="D71" s="5" t="inlineStr">
        <is>
          <t>Primitive</t>
        </is>
      </c>
      <c r="E71" s="6" t="inlineStr">
        <is>
          <t>Polarity takes values in U(1), an angle.</t>
        </is>
      </c>
      <c r="F71" s="6" t="inlineStr">
        <is>
          <t>the phase structure the winding is computed from</t>
        </is>
      </c>
    </row>
    <row r="72">
      <c r="A72" s="6" t="inlineStr">
        <is>
          <t>If the world is left-handed, it chose to be</t>
        </is>
      </c>
      <c r="B72" s="5" t="n">
        <v>94</v>
      </c>
      <c r="C72" s="5" t="inlineStr">
        <is>
          <t>P11</t>
        </is>
      </c>
      <c r="D72" s="5" t="inlineStr">
        <is>
          <t>Primitive</t>
        </is>
      </c>
      <c r="E72" s="6" t="inlineStr">
        <is>
          <t>Commitment is irreversible, with the environment randomizing</t>
        </is>
      </c>
      <c r="F72" s="6" t="inlineStr">
        <is>
          <t>one of the two factors in the handedness operator</t>
        </is>
      </c>
    </row>
    <row r="73">
      <c r="A73" s="6" t="inlineStr">
        <is>
          <t>Four kinds of horizon, one law</t>
        </is>
      </c>
      <c r="B73" s="5" t="n">
        <v>320</v>
      </c>
      <c r="C73" s="5" t="inlineStr">
        <is>
          <t>P10</t>
        </is>
      </c>
      <c r="D73" s="5" t="inlineStr">
        <is>
          <t>Primitive</t>
        </is>
      </c>
      <c r="E73" s="6" t="inlineStr">
        <is>
          <t xml:space="preserve">Rule-types are primitive. This is what allows the V5 kernel </t>
        </is>
      </c>
      <c r="F73" s="6" t="inlineStr">
        <is>
          <t>the kernel, the one-sidedness, the rates</t>
        </is>
      </c>
    </row>
    <row r="74">
      <c r="A74" s="6" t="inlineStr">
        <is>
          <t>Four kinds of horizon, one law</t>
        </is>
      </c>
      <c r="B74" s="5" t="n">
        <v>320</v>
      </c>
      <c r="C74" s="5" t="inlineStr">
        <is>
          <t>P11</t>
        </is>
      </c>
      <c r="D74" s="5" t="inlineStr">
        <is>
          <t>Primitive</t>
        </is>
      </c>
      <c r="E74" s="6" t="inlineStr">
        <is>
          <t>Commitment is irreversible, with the environment randomizing</t>
        </is>
      </c>
      <c r="F74" s="6" t="inlineStr">
        <is>
          <t>the kernel, the one-sidedness, the rates</t>
        </is>
      </c>
    </row>
    <row r="75">
      <c r="A75" s="6" t="inlineStr">
        <is>
          <t>Four kinds of horizon, one law</t>
        </is>
      </c>
      <c r="B75" s="5" t="n">
        <v>320</v>
      </c>
      <c r="C75" s="5" t="inlineStr">
        <is>
          <t>P13</t>
        </is>
      </c>
      <c r="D75" s="5" t="inlineStr">
        <is>
          <t>Primitive</t>
        </is>
      </c>
      <c r="E75" s="6" t="inlineStr">
        <is>
          <t>Time is homogeneous, and events are discrete.</t>
        </is>
      </c>
      <c r="F75" s="6" t="inlineStr">
        <is>
          <t>the kernel, the one-sidedness, the rates</t>
        </is>
      </c>
    </row>
    <row r="76">
      <c r="A76" s="6" t="inlineStr">
        <is>
          <t>Four kinds of horizon, one law</t>
        </is>
      </c>
      <c r="B76" s="5" t="n">
        <v>320</v>
      </c>
      <c r="C76" s="5" t="inlineStr">
        <is>
          <t>A1</t>
        </is>
      </c>
      <c r="D76" s="5" t="inlineStr">
        <is>
          <t>Axiom</t>
        </is>
      </c>
      <c r="E76" s="6" t="inlineStr">
        <is>
          <t>SCBU</t>
        </is>
      </c>
      <c r="F76" s="6" t="inlineStr">
        <is>
          <t>the cosmic boundary at R_H = c/H₀, one of the four cases</t>
        </is>
      </c>
    </row>
    <row r="77">
      <c r="A77" s="6" t="inlineStr">
        <is>
          <t>Four kinds of horizon, one law</t>
        </is>
      </c>
      <c r="B77" s="5" t="n">
        <v>320</v>
      </c>
      <c r="C77" s="5" t="inlineStr">
        <is>
          <t>A14</t>
        </is>
      </c>
      <c r="D77" s="5" t="inlineStr">
        <is>
          <t>Axiom</t>
        </is>
      </c>
      <c r="E77" s="6" t="inlineStr">
        <is>
          <t>V5 exists</t>
        </is>
      </c>
      <c r="F77" s="6" t="inlineStr">
        <is>
          <t>the kernel that saturates</t>
        </is>
      </c>
    </row>
    <row r="78">
      <c r="A78" s="6" t="inlineStr">
        <is>
          <t>Four kinds of horizon, one law</t>
        </is>
      </c>
      <c r="B78" s="5" t="n">
        <v>320</v>
      </c>
      <c r="C78" s="5" t="inlineStr">
        <is>
          <t>C22</t>
        </is>
      </c>
      <c r="D78" s="5" t="inlineStr">
        <is>
          <t>Condition</t>
        </is>
      </c>
      <c r="E78" s="6" t="inlineStr">
        <is>
          <t>Space's shape changes gently</t>
        </is>
      </c>
      <c r="F78" s="6" t="inlineStr">
        <is>
          <t>the acoustic case runs on the emergent acoustic metric</t>
        </is>
      </c>
    </row>
    <row r="79">
      <c r="A79" s="6" t="inlineStr">
        <is>
          <t>Four kinds of horizon, one law</t>
        </is>
      </c>
      <c r="B79" s="5" t="n">
        <v>320</v>
      </c>
      <c r="C79" s="5" t="inlineStr">
        <is>
          <t>C23</t>
        </is>
      </c>
      <c r="D79" s="5" t="inlineStr">
        <is>
          <t>Condition</t>
        </is>
      </c>
      <c r="E79" s="6" t="inlineStr">
        <is>
          <t>Time stays different from space</t>
        </is>
      </c>
      <c r="F79" s="6" t="inlineStr">
        <is>
          <t>the acoustic case runs on the emergent acoustic metric</t>
        </is>
      </c>
    </row>
    <row r="80">
      <c r="A80" s="6" t="inlineStr">
        <is>
          <t>Four kinds of horizon, one law</t>
        </is>
      </c>
      <c r="B80" s="5" t="n">
        <v>320</v>
      </c>
      <c r="C80" s="5" t="inlineStr">
        <is>
          <t>C24</t>
        </is>
      </c>
      <c r="D80" s="5" t="inlineStr">
        <is>
          <t>Condition</t>
        </is>
      </c>
      <c r="E80" s="6" t="inlineStr">
        <is>
          <t>No negative-energy waves</t>
        </is>
      </c>
      <c r="F80" s="6" t="inlineStr">
        <is>
          <t>the acoustic case runs on the emergent acoustic metric</t>
        </is>
      </c>
    </row>
    <row r="81">
      <c r="A81" s="6" t="inlineStr">
        <is>
          <t>Four kinds of horizon, one law</t>
        </is>
      </c>
      <c r="B81" s="5" t="n">
        <v>320</v>
      </c>
      <c r="C81" s="5" t="inlineStr">
        <is>
          <t>C25</t>
        </is>
      </c>
      <c r="D81" s="5" t="inlineStr">
        <is>
          <t>Condition</t>
        </is>
      </c>
      <c r="E81" s="6" t="inlineStr">
        <is>
          <t>Zoom out the right amount</t>
        </is>
      </c>
      <c r="F81" s="6" t="inlineStr">
        <is>
          <t>the acoustic case runs on the emergent acoustic metric</t>
        </is>
      </c>
    </row>
    <row r="82">
      <c r="A82" s="6" t="inlineStr">
        <is>
          <t>Four kinds of horizon, one law</t>
        </is>
      </c>
      <c r="B82" s="5" t="n">
        <v>320</v>
      </c>
      <c r="C82" s="5" t="inlineStr">
        <is>
          <t>C26</t>
        </is>
      </c>
      <c r="D82" s="5" t="inlineStr">
        <is>
          <t>Condition</t>
        </is>
      </c>
      <c r="E82" s="6" t="inlineStr">
        <is>
          <t>Horizons behave</t>
        </is>
      </c>
      <c r="F82" s="6" t="inlineStr">
        <is>
          <t>the acoustic case runs on the emergent acoustic metric</t>
        </is>
      </c>
    </row>
  </sheetData>
  <autoFilter ref="A1:F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52" customWidth="1" min="3" max="3"/>
    <col width="62" customWidth="1" min="4" max="4"/>
  </cols>
  <sheetData>
    <row r="1" ht="28" customHeight="1">
      <c r="A1" s="4" t="inlineStr">
        <is>
          <t>Result</t>
        </is>
      </c>
      <c r="B1" s="4" t="inlineStr">
        <is>
          <t>Depends on</t>
        </is>
      </c>
      <c r="C1" s="4" t="inlineStr">
        <is>
          <t>What it supplies</t>
        </is>
      </c>
      <c r="D1" s="4" t="inlineStr">
        <is>
          <t>Where that stands</t>
        </is>
      </c>
    </row>
    <row r="2">
      <c r="A2" s="6" t="inlineStr">
        <is>
          <t>The Hawking temperature</t>
        </is>
      </c>
      <c r="B2" s="6" t="inlineStr">
        <is>
          <t>the horizon mechanism (039)</t>
        </is>
      </c>
      <c r="C2" s="6" t="inlineStr">
        <is>
          <t>the surface itself, and κ</t>
        </is>
      </c>
      <c r="D2" s="6" t="inlineStr">
        <is>
          <t>κ is borrowed, not computed</t>
        </is>
      </c>
    </row>
    <row r="3">
      <c r="A3" s="6" t="inlineStr">
        <is>
          <t>Black-hole entropy: the coefficient 1/4</t>
        </is>
      </c>
      <c r="B3" s="6" t="inlineStr">
        <is>
          <t>GR-III's vacuum profile</t>
        </is>
      </c>
      <c r="C3" s="6" t="inlineStr">
        <is>
          <t>the horizon's shape, b(r) = 1 − r_s/r, and from its slope the surface gravity κ = 1/(2r_s)</t>
        </is>
      </c>
      <c r="D3" s="6" t="inlineStr">
        <is>
          <t>built from the primitives, but through GR-I's lapse, which rests on the band-accounting premise (see "What this leans on")</t>
        </is>
      </c>
    </row>
    <row r="4">
      <c r="A4" s="6" t="inlineStr">
        <is>
          <t>Black-hole entropy: the coefficient 1/4</t>
        </is>
      </c>
      <c r="B4" s="6" t="inlineStr">
        <is>
          <t>GR-I</t>
        </is>
      </c>
      <c r="C4" s="6" t="inlineStr">
        <is>
          <t>the relation between the two metric parts, g₀₀g_rr = −1</t>
        </is>
      </c>
      <c r="D4" s="6" t="inlineStr">
        <is>
          <t>same chain</t>
        </is>
      </c>
    </row>
    <row r="5">
      <c r="A5" s="6" t="inlineStr">
        <is>
          <t>Matter moves on geodesics</t>
        </is>
      </c>
      <c r="B5" s="6" t="inlineStr">
        <is>
          <t>GR-I's emergent metric</t>
        </is>
      </c>
      <c r="C5" s="6" t="inlineStr">
        <is>
          <t>the geometry the motion happens in, including the lapse</t>
        </is>
      </c>
      <c r="D5" s="6" t="inlineStr">
        <is>
          <t>rests on the band-accounting premise (see below)</t>
        </is>
      </c>
    </row>
    <row r="6">
      <c r="A6" s="6" t="inlineStr">
        <is>
          <t>ED's gravity is khronometric</t>
        </is>
      </c>
      <c r="B6" s="6" t="inlineStr">
        <is>
          <t>GR-I's emergent metric</t>
        </is>
      </c>
      <c r="C6" s="6" t="inlineStr">
        <is>
          <t>the geometry being counted</t>
        </is>
      </c>
      <c r="D6" s="6" t="inlineStr">
        <is>
          <t>rests on the band-accounting premise</t>
        </is>
      </c>
    </row>
    <row r="7">
      <c r="A7" s="6" t="inlineStr">
        <is>
          <t>Gravitational waves travel at the speed of light</t>
        </is>
      </c>
      <c r="B7" s="6" t="inlineStr">
        <is>
          <t>GR-I's emergent metric</t>
        </is>
      </c>
      <c r="C7" s="6" t="inlineStr">
        <is>
          <t>the geometry the waves move in</t>
        </is>
      </c>
      <c r="D7" s="6" t="inlineStr">
        <is>
          <t>rests on the band-accounting premise</t>
        </is>
      </c>
    </row>
    <row r="8">
      <c r="A8" s="6" t="inlineStr">
        <is>
          <t>The extra gravitational mode also travels at c</t>
        </is>
      </c>
      <c r="B8" s="6" t="inlineStr">
        <is>
          <t>the khronometric class (GR-II)</t>
        </is>
      </c>
      <c r="C8" s="6" t="inlineStr">
        <is>
          <t>the existence of the scalar mode</t>
        </is>
      </c>
      <c r="D8" s="6" t="inlineStr">
        <is>
          <t>structural count</t>
        </is>
      </c>
    </row>
    <row r="9">
      <c r="A9" s="6" t="inlineStr">
        <is>
          <t>The extra gravitational mode also travels at c</t>
        </is>
      </c>
      <c r="B9" s="6" t="inlineStr">
        <is>
          <t>GR-I's emergent metric</t>
        </is>
      </c>
      <c r="C9" s="6" t="inlineStr">
        <is>
          <t>the geometry</t>
        </is>
      </c>
      <c r="D9" s="6" t="inlineStr">
        <is>
          <t>rests on the band-accounting premise</t>
        </is>
      </c>
    </row>
    <row r="10">
      <c r="A10" s="6" t="inlineStr">
        <is>
          <t>The tightest preferred-frame test is passed exactly</t>
        </is>
      </c>
      <c r="B10" s="6" t="inlineStr">
        <is>
          <t>gravity waves at c</t>
        </is>
      </c>
      <c r="C10" s="6" t="inlineStr">
        <is>
          <t>one of the two luminal conditions</t>
        </is>
      </c>
      <c r="D10" s="6" t="inlineStr">
        <is>
          <t>independent of the unbuilt rule coefficients, but sits on GR-I's metric and so on the band-accounting premise</t>
        </is>
      </c>
    </row>
    <row r="11">
      <c r="A11" s="6" t="inlineStr">
        <is>
          <t>The tightest preferred-frame test is passed exactly</t>
        </is>
      </c>
      <c r="B11" s="6" t="inlineStr">
        <is>
          <t>the khronon speed c_s = c</t>
        </is>
      </c>
      <c r="C11" s="6" t="inlineStr">
        <is>
          <t>the other</t>
        </is>
      </c>
      <c r="D11" s="6" t="inlineStr">
        <is>
          <t>leading order, with an uncomputed correction ε′; also rests on the band-accounting premise</t>
        </is>
      </c>
    </row>
    <row r="12">
      <c r="A12" s="6" t="inlineStr">
        <is>
          <t>Four kinds of horizon, one law</t>
        </is>
      </c>
      <c r="B12" s="6" t="inlineStr">
        <is>
          <t>the horizon mechanism (039)</t>
        </is>
      </c>
      <c r="C12" s="6" t="inlineStr">
        <is>
          <t>the black-hole case</t>
        </is>
      </c>
      <c r="D12" s="6" t="inlineStr">
        <is>
          <t>location borrowed</t>
        </is>
      </c>
    </row>
    <row r="13">
      <c r="A13" s="6" t="inlineStr">
        <is>
          <t>Four kinds of horizon, one law</t>
        </is>
      </c>
      <c r="B13" s="6" t="inlineStr">
        <is>
          <t>the Hawking temperature (047)</t>
        </is>
      </c>
      <c r="C13" s="6" t="inlineStr">
        <is>
          <t>the temperature law at one horizon</t>
        </is>
      </c>
      <c r="D13" s="6" t="inlineStr">
        <is>
          <t>2π borrowed</t>
        </is>
      </c>
    </row>
  </sheetData>
  <autoFilter ref="A1:D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70" customWidth="1" min="3" max="3"/>
    <col width="8" customWidth="1" min="4" max="4"/>
  </cols>
  <sheetData>
    <row r="1" ht="28" customHeight="1">
      <c r="A1" s="4" t="inlineStr">
        <is>
          <t>Paper</t>
        </is>
      </c>
      <c r="B1" s="4" t="inlineStr">
        <is>
          <t>Role</t>
        </is>
      </c>
      <c r="C1" s="4" t="inlineStr">
        <is>
          <t>Results it carries</t>
        </is>
      </c>
      <c r="D1" s="4" t="inlineStr">
        <is>
          <t>Count</t>
        </is>
      </c>
    </row>
    <row r="2">
      <c r="A2" s="6" t="inlineStr">
        <is>
          <t>Adjacency-Bandwidth Asymmetry from Spatial Homogeneity</t>
        </is>
      </c>
      <c r="B2" s="5" t="inlineStr">
        <is>
          <t>result paper</t>
        </is>
      </c>
      <c r="C2" s="6" t="inlineStr">
        <is>
          <t>Why kinetic energy has a 1/2 in it</t>
        </is>
      </c>
      <c r="D2" s="5" t="n">
        <v>1</v>
      </c>
    </row>
    <row r="3">
      <c r="A3" s="6" t="inlineStr">
        <is>
          <t>Anyon Prohibition in 3_1D</t>
        </is>
      </c>
      <c r="B3" s="5" t="inlineStr">
        <is>
          <t>result paper</t>
        </is>
      </c>
      <c r="C3" s="6" t="inlineStr">
        <is>
          <t>No anyons in three dimensions</t>
        </is>
      </c>
      <c r="D3" s="5" t="n">
        <v>1</v>
      </c>
    </row>
    <row r="4">
      <c r="A4" s="6" t="inlineStr">
        <is>
          <t>BH_Rindler_Cosmological_Acoustic Horizons as One Substrate Object</t>
        </is>
      </c>
      <c r="B4" s="5" t="inlineStr">
        <is>
          <t>result paper</t>
        </is>
      </c>
      <c r="C4" s="6" t="inlineStr">
        <is>
          <t>Four kinds of horizon, one law</t>
        </is>
      </c>
      <c r="D4" s="5" t="n">
        <v>1</v>
      </c>
    </row>
    <row r="5">
      <c r="A5" s="6" t="inlineStr">
        <is>
          <t>Charge As Topology_Winding_Integral Gauss Law</t>
        </is>
      </c>
      <c r="B5" s="5" t="inlineStr">
        <is>
          <t>result paper</t>
        </is>
      </c>
      <c r="C5" s="6" t="inlineStr">
        <is>
          <t>Charge as a winding number</t>
        </is>
      </c>
      <c r="D5" s="5" t="n">
        <v>1</v>
      </c>
    </row>
    <row r="6">
      <c r="A6" s="6" t="inlineStr">
        <is>
          <t>Clean Substrate Vector_Parity Spontaneous</t>
        </is>
      </c>
      <c r="B6" s="5" t="inlineStr">
        <is>
          <t>result paper</t>
        </is>
      </c>
      <c r="C6" s="6" t="inlineStr">
        <is>
          <t>If the world is left-handed, it chose to be</t>
        </is>
      </c>
      <c r="D6" s="5" t="n">
        <v>1</v>
      </c>
    </row>
    <row r="7">
      <c r="A7" s="6" t="inlineStr">
        <is>
          <t>Frame Uniqueness_Clifford 3_1</t>
        </is>
      </c>
      <c r="B7" s="5" t="inlineStr">
        <is>
          <t>result paper</t>
        </is>
      </c>
      <c r="C7" s="6" t="inlineStr">
        <is>
          <t>The spinor frame is unique</t>
        </is>
      </c>
      <c r="D7" s="5" t="n">
        <v>1</v>
      </c>
    </row>
    <row r="8">
      <c r="A8" s="6" t="inlineStr">
        <is>
          <t>GR-III_Dynamical Rule</t>
        </is>
      </c>
      <c r="B8" s="5" t="inlineStr">
        <is>
          <t>result paper</t>
        </is>
      </c>
      <c r="C8" s="6" t="inlineStr">
        <is>
          <t>The extra gravitational mode also travels at c</t>
        </is>
      </c>
      <c r="D8" s="5" t="n">
        <v>1</v>
      </c>
    </row>
    <row r="9">
      <c r="A9" s="6" t="inlineStr">
        <is>
          <t>GR-II_ED Gravity is Khronometric Class</t>
        </is>
      </c>
      <c r="B9" s="5" t="inlineStr">
        <is>
          <t>result paper</t>
        </is>
      </c>
      <c r="C9" s="6" t="inlineStr">
        <is>
          <t>Matter moves on geodesics; ED's gravity is khronometric; Gravitational waves travel at the speed of light</t>
        </is>
      </c>
      <c r="D9" s="5" t="n">
        <v>3</v>
      </c>
    </row>
    <row r="10">
      <c r="A10" s="6" t="inlineStr">
        <is>
          <t>GR-IV_Preferred Frame Safety_Quantum Coherence</t>
        </is>
      </c>
      <c r="B10" s="5" t="inlineStr">
        <is>
          <t>result paper</t>
        </is>
      </c>
      <c r="C10" s="6" t="inlineStr">
        <is>
          <t>The tightest preferred-frame test is passed exactly</t>
        </is>
      </c>
      <c r="D10" s="5" t="n">
        <v>1</v>
      </c>
    </row>
    <row r="11">
      <c r="A11" s="6" t="inlineStr">
        <is>
          <t>Hawking Spectrum</t>
        </is>
      </c>
      <c r="B11" s="5" t="inlineStr">
        <is>
          <t>result paper</t>
        </is>
      </c>
      <c r="C11" s="6" t="inlineStr">
        <is>
          <t>The Hawking temperature</t>
        </is>
      </c>
      <c r="D11" s="5" t="n">
        <v>1</v>
      </c>
    </row>
    <row r="12">
      <c r="A12" s="6" t="inlineStr">
        <is>
          <t>Horizon as Decoupling Surface_Trans Planckian Resolution_Planck Mass Remnant</t>
        </is>
      </c>
      <c r="B12" s="5" t="inlineStr">
        <is>
          <t>result paper</t>
        </is>
      </c>
      <c r="C12" s="6" t="inlineStr">
        <is>
          <t>The horizon as a decoupling surface</t>
        </is>
      </c>
      <c r="D12" s="5" t="n">
        <v>1</v>
      </c>
    </row>
    <row r="13">
      <c r="A13" s="6" t="inlineStr">
        <is>
          <t>Inflationary Spectrum</t>
        </is>
      </c>
      <c r="B13" s="5" t="inlineStr">
        <is>
          <t>result paper</t>
        </is>
      </c>
      <c r="C13" s="6" t="inlineStr">
        <is>
          <t>Primordial gravitational waves and today's are one mechanism</t>
        </is>
      </c>
      <c r="D13" s="5" t="n">
        <v>1</v>
      </c>
    </row>
    <row r="14">
      <c r="A14" s="6" t="inlineStr">
        <is>
          <t>MatterSector_Gauge_Spin_Chirality_3D</t>
        </is>
      </c>
      <c r="B14" s="5" t="inlineStr">
        <is>
          <t>result paper</t>
        </is>
      </c>
      <c r="C14" s="6" t="inlineStr">
        <is>
          <t>Where the gauge groups come from</t>
        </is>
      </c>
      <c r="D14" s="5" t="n">
        <v>1</v>
      </c>
    </row>
    <row r="15">
      <c r="A15" s="6" t="inlineStr">
        <is>
          <t>Thermal 2Pi_Entropy Coefficient</t>
        </is>
      </c>
      <c r="B15" s="5" t="inlineStr">
        <is>
          <t>result paper</t>
        </is>
      </c>
      <c r="C15" s="6" t="inlineStr">
        <is>
          <t>Black-hole entropy: the coefficient 1/4</t>
        </is>
      </c>
      <c r="D15" s="5" t="n">
        <v>1</v>
      </c>
    </row>
    <row r="16">
      <c r="A16" s="6" t="inlineStr">
        <is>
          <t>GR-I_Weak Field Einstein Metric</t>
        </is>
      </c>
      <c r="B16" s="5" t="inlineStr">
        <is>
          <t>upstream</t>
        </is>
      </c>
      <c r="C16" s="6" t="inlineStr">
        <is>
          <t>carries no result on this list; holds up the ones that do</t>
        </is>
      </c>
      <c r="D16" s="5" t="n">
        <v>0</v>
      </c>
    </row>
    <row r="17">
      <c r="A17" s="6" t="inlineStr">
        <is>
          <t>The 13 Primitives</t>
        </is>
      </c>
      <c r="B17" s="5" t="inlineStr">
        <is>
          <t>upstream</t>
        </is>
      </c>
      <c r="C17" s="6" t="inlineStr">
        <is>
          <t>carries no result on this list; holds up the ones that do</t>
        </is>
      </c>
      <c r="D17" s="5" t="n">
        <v>0</v>
      </c>
    </row>
    <row r="18">
      <c r="A18" s="6" t="inlineStr">
        <is>
          <t>V1 Kernel_Finite Width Retarded</t>
        </is>
      </c>
      <c r="B18" s="5" t="inlineStr">
        <is>
          <t>upstream</t>
        </is>
      </c>
      <c r="C18" s="6" t="inlineStr">
        <is>
          <t>carries no result on this list; holds up the ones that do</t>
        </is>
      </c>
      <c r="D18" s="5" t="n">
        <v>0</v>
      </c>
    </row>
    <row r="19">
      <c r="A19" s="6" t="inlineStr">
        <is>
          <t>V5 Kernel_Cross Chain Correlation</t>
        </is>
      </c>
      <c r="B19" s="5" t="inlineStr">
        <is>
          <t>upstream</t>
        </is>
      </c>
      <c r="C19" s="6" t="inlineStr">
        <is>
          <t>carries no result on this list; holds up the ones that do</t>
        </is>
      </c>
      <c r="D19" s="5" t="n">
        <v>0</v>
      </c>
    </row>
  </sheetData>
  <autoFilter ref="A1:D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0" customWidth="1" min="1" max="1"/>
    <col width="12" customWidth="1" min="2" max="2"/>
    <col width="70" customWidth="1" min="4" max="4"/>
  </cols>
  <sheetData>
    <row r="1">
      <c r="A1" s="7" t="inlineStr">
        <is>
          <t>Counts</t>
        </is>
      </c>
    </row>
    <row r="3">
      <c r="A3" s="8" t="inlineStr">
        <is>
          <t>Foundation</t>
        </is>
      </c>
      <c r="D3" s="9" t="inlineStr">
        <is>
          <t>Live counts, recalculated from the Foundation, Results, Uses Map and Dependencies tabs. Edit those and these follow.</t>
        </is>
      </c>
    </row>
    <row r="4">
      <c r="A4" s="10" t="inlineStr">
        <is>
          <t>Primitives</t>
        </is>
      </c>
      <c r="B4" s="10">
        <f>COUNTIF(Foundation!$A:$A,"Primitive")</f>
        <v/>
      </c>
    </row>
    <row r="5">
      <c r="A5" s="10" t="inlineStr">
        <is>
          <t>Constants</t>
        </is>
      </c>
      <c r="B5" s="10">
        <f>COUNTIF(Foundation!$A:$A,"Constant")</f>
        <v/>
      </c>
      <c r="D5" s="9" t="inlineStr">
        <is>
          <t>Column B holds formulas with no stored result. Excel fills them in the moment the file opens.</t>
        </is>
      </c>
    </row>
    <row r="6">
      <c r="A6" s="10" t="inlineStr">
        <is>
          <t>Axioms</t>
        </is>
      </c>
      <c r="B6" s="10">
        <f>COUNTIF(Foundation!$A:$A,"Axiom")</f>
        <v/>
      </c>
    </row>
    <row r="7">
      <c r="A7" s="10" t="inlineStr">
        <is>
          <t>Working conditions</t>
        </is>
      </c>
      <c r="B7" s="10">
        <f>COUNTIF(Foundation!$A:$A,"Condition")</f>
        <v/>
      </c>
    </row>
    <row r="8">
      <c r="A8" s="10" t="inlineStr">
        <is>
          <t>Arguments</t>
        </is>
      </c>
      <c r="B8" s="10">
        <f>COUNTIF(Foundation!$A:$A,"Argument")</f>
        <v/>
      </c>
    </row>
    <row r="9">
      <c r="A9" s="10" t="inlineStr">
        <is>
          <t>Counted total</t>
        </is>
      </c>
      <c r="B9" s="10">
        <f>B4+B5+B6+B7+B8</f>
        <v/>
      </c>
    </row>
    <row r="10">
      <c r="A10" s="10" t="inlineStr">
        <is>
          <t>Definitions (not counted)</t>
        </is>
      </c>
      <c r="B10" s="10">
        <f>COUNTIF(Foundation!$A:$A,"Definition")</f>
        <v/>
      </c>
    </row>
    <row r="11">
      <c r="A11" s="10" t="inlineStr"/>
    </row>
    <row r="12">
      <c r="A12" s="8" t="inlineStr">
        <is>
          <t>Results</t>
        </is>
      </c>
    </row>
    <row r="13">
      <c r="A13" s="10" t="inlineStr">
        <is>
          <t>Results listed</t>
        </is>
      </c>
      <c r="B13" s="10">
        <f>COUNTA(Results!$A$2:$A$100)</f>
        <v/>
      </c>
    </row>
    <row r="14">
      <c r="A14" s="10" t="inlineStr">
        <is>
          <t>On the gravity chain</t>
        </is>
      </c>
      <c r="B14" s="10">
        <f>COUNTIF(Results!$M:$M,"yes")</f>
        <v/>
      </c>
    </row>
    <row r="15">
      <c r="A15" s="10" t="inlineStr">
        <is>
          <t>Using V5 (axiom 14)</t>
        </is>
      </c>
      <c r="B15" s="10">
        <f>COUNTIF('Uses Map'!$C:$C,"A14")</f>
        <v/>
      </c>
    </row>
    <row r="16">
      <c r="A16" s="10" t="inlineStr">
        <is>
          <t>Using V1 (axiom 21)</t>
        </is>
      </c>
      <c r="B16" s="10">
        <f>COUNTIF('Uses Map'!$C:$C,"A21")</f>
        <v/>
      </c>
    </row>
    <row r="17">
      <c r="A17" s="10" t="inlineStr">
        <is>
          <t>Using a working condition</t>
        </is>
      </c>
      <c r="B17" s="10">
        <f>COUNTIF('Uses Map'!$D:$D,"Condition")</f>
        <v/>
      </c>
    </row>
    <row r="18">
      <c r="A18" s="10" t="inlineStr">
        <is>
          <t>Sectors of physics</t>
        </is>
      </c>
      <c r="B18" s="10">
        <f>SUMPRODUCT((Results!$B$2:$B$17&lt;&gt;"")/COUNTIF(Results!$B$2:$B$17,Results!$B$2:$B$17&amp;""))</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00" customWidth="1" min="3" max="3"/>
  </cols>
  <sheetData>
    <row r="1" ht="28" customHeight="1">
      <c r="A1" s="4" t="inlineStr">
        <is>
          <t>Ledger tier</t>
        </is>
      </c>
      <c r="B1" s="4" t="inlineStr">
        <is>
          <t>Count</t>
        </is>
      </c>
      <c r="C1" s="4" t="inlineStr">
        <is>
          <t>Why it is not on this list</t>
        </is>
      </c>
    </row>
    <row r="2">
      <c r="A2" s="5" t="inlineStr">
        <is>
          <t>Grounded</t>
        </is>
      </c>
      <c r="B2" s="5" t="n">
        <v>132</v>
      </c>
      <c r="C2" s="6" t="inlineStr">
        <is>
          <t>Holds given a further local assumption that is not on the foundation page. Real work, honestly labelled, but outside this list.</t>
        </is>
      </c>
    </row>
    <row r="3">
      <c r="A3" s="5" t="inlineStr">
        <is>
          <t>Postulated</t>
        </is>
      </c>
      <c r="B3" s="5" t="n">
        <v>59</v>
      </c>
      <c r="C3" s="6" t="inlineStr">
        <is>
          <t>A declared assumption belonging to one paper.</t>
        </is>
      </c>
    </row>
    <row r="4">
      <c r="A4" s="5" t="inlineStr">
        <is>
          <t>Open</t>
        </is>
      </c>
      <c r="B4" s="5" t="n">
        <v>51</v>
      </c>
      <c r="C4" s="6" t="inlineStr">
        <is>
          <t>Named as unresolved.</t>
        </is>
      </c>
    </row>
    <row r="5">
      <c r="A5" s="5" t="inlineStr">
        <is>
          <t>Selected/Inherited</t>
        </is>
      </c>
      <c r="B5" s="5" t="n">
        <v>40</v>
      </c>
      <c r="C5" s="6" t="inlineStr">
        <is>
          <t>Taken from published physics.</t>
        </is>
      </c>
    </row>
    <row r="6">
      <c r="A6" s="5" t="inlineStr">
        <is>
          <t>Synthesis</t>
        </is>
      </c>
      <c r="B6" s="5" t="n">
        <v>31</v>
      </c>
      <c r="C6" s="6" t="inlineStr">
        <is>
          <t>Ties existing results together.</t>
        </is>
      </c>
    </row>
    <row r="7">
      <c r="A7" s="5" t="inlineStr">
        <is>
          <t>Prediction</t>
        </is>
      </c>
      <c r="B7" s="5" t="n">
        <v>24</v>
      </c>
      <c r="C7" s="6" t="inlineStr">
        <is>
          <t>A falsifiable bet, not yet tested.</t>
        </is>
      </c>
    </row>
    <row r="8">
      <c r="A8" s="5" t="inlineStr">
        <is>
          <t>Asserted</t>
        </is>
      </c>
      <c r="B8" s="5" t="n">
        <v>22</v>
      </c>
      <c r="C8" s="6" t="inlineStr">
        <is>
          <t>Stated without a supporting argument in the paper.</t>
        </is>
      </c>
    </row>
    <row r="9">
      <c r="A9" s="5" t="inlineStr">
        <is>
          <t>Measured</t>
        </is>
      </c>
      <c r="B9" s="5" t="n">
        <v>14</v>
      </c>
      <c r="C9" s="6" t="inlineStr">
        <is>
          <t>Measured in the simulator, including row 92 (zero signalling), retiered from Derived on 2026-09-11.</t>
        </is>
      </c>
    </row>
    <row r="10">
      <c r="A10" s="5" t="inlineStr">
        <is>
          <t>Primitive</t>
        </is>
      </c>
      <c r="B10" s="5" t="n">
        <v>13</v>
      </c>
      <c r="C10" s="6" t="inlineStr">
        <is>
          <t>The primitives themselves; they are on the Foundation tab.</t>
        </is>
      </c>
    </row>
    <row r="11">
      <c r="A11" s="5" t="inlineStr">
        <is>
          <t>Derived</t>
        </is>
      </c>
      <c r="B11" s="5" t="n">
        <v>9</v>
      </c>
      <c r="C11" s="6" t="inlineStr">
        <is>
          <t>Nine in the ledger, eight of them on this list. Row 42 (the c-power in G) is excluded as unit arithmetic.</t>
        </is>
      </c>
    </row>
    <row r="12">
      <c r="A12" s="5" t="inlineStr">
        <is>
          <t>Constant</t>
        </is>
      </c>
      <c r="B12" s="5" t="n">
        <v>9</v>
      </c>
      <c r="C12" s="6" t="inlineStr">
        <is>
          <t>The constants; they are on the Foundation tab.</t>
        </is>
      </c>
    </row>
    <row r="13">
      <c r="A13" s="5" t="inlineStr">
        <is>
          <t>D-via-I / Form-forced</t>
        </is>
      </c>
      <c r="B13" s="5" t="n">
        <v>8</v>
      </c>
      <c r="C13" s="6" t="inlineStr">
        <is>
          <t>All eight are on this list.</t>
        </is>
      </c>
    </row>
    <row r="15">
      <c r="A15" s="9" t="inlineStr">
        <is>
          <t>Source: ED_ItemizedTheory_TieredClaims_v2.xlsx (ED Generative), tier counts as of 2026-09-11. These twelve figures are typed from that ledger, not computed here.</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2026-09-12T02:06:57Z</dcterms:created>
  <dcterms:modified xsi:type="dcterms:W3CDTF">2026-09-12T02:06:57Z</dcterms:modified>
</cp:coreProperties>
</file>